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shboard" sheetId="1" state="visible" r:id="rId3"/>
    <sheet name="How to use" sheetId="2" state="visible" r:id="rId4"/>
    <sheet name="Calls" sheetId="3" state="visible" r:id="rId5"/>
    <sheet name="Projects" sheetId="4" state="visible" r:id="rId6"/>
    <sheet name="Lists" sheetId="5" state="visible" r:id="rId7"/>
  </sheets>
  <definedNames>
    <definedName function="false" hidden="false" localSheetId="2" name="_xlnm.Print_Titles" vbProcedure="false">Calls!$1:$1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Based on the works value (thresholds can be changed on the Lists sheet).</t>
        </r>
      </text>
    </comment>
    <comment ref="G1" authorId="0">
      <text>
        <r>
          <rPr>
            <sz val="10"/>
            <rFont val="Arial"/>
            <family val="2"/>
          </rPr>
          <t xml:space="preserve">Clickable: starts the call in your softphone / Teams / Skype (tel:+41... link).</t>
        </r>
      </text>
    </comment>
    <comment ref="M1" authorId="0">
      <text>
        <r>
          <rPr>
            <sz val="10"/>
            <rFont val="Arial"/>
            <family val="2"/>
          </rPr>
          <t xml:space="preserve">Number of rows with the same phone number (or the same company when there is no number). If &gt; 1, one call can cover several projects.</t>
        </r>
      </text>
    </comment>
    <comment ref="N1" authorId="0">
      <text>
        <r>
          <rPr>
            <sz val="10"/>
            <rFont val="Arial"/>
            <family val="2"/>
          </rPr>
          <t xml:space="preserve">What happened on the call itself (reached, voicemail, etc.).</t>
        </r>
      </text>
    </comment>
    <comment ref="O1" authorId="0">
      <text>
        <r>
          <rPr>
            <sz val="10"/>
            <rFont val="Arial"/>
            <family val="2"/>
          </rPr>
          <t xml:space="preserve">Where the prospect stands commercially. Defaults to "To call".</t>
        </r>
      </text>
    </comment>
    <comment ref="S1" authorId="0">
      <text>
        <r>
          <rPr>
            <sz val="10"/>
            <rFont val="Arial"/>
            <family val="2"/>
          </rPr>
          <t xml:space="preserve">Always set a follow-up date: it turns red once it is overdue.</t>
        </r>
      </text>
    </comment>
    <comment ref="AB1" authorId="0">
      <text>
        <r>
          <rPr>
            <sz val="10"/>
            <rFont val="Arial"/>
            <family val="2"/>
          </rPr>
          <t xml:space="preserve">"Detail card" = full contact block; "Summary table" = short table at the bottom of the card.</t>
        </r>
      </text>
    </comment>
  </commentList>
</comments>
</file>

<file path=xl/sharedStrings.xml><?xml version="1.0" encoding="utf-8"?>
<sst xmlns="http://schemas.openxmlformats.org/spreadsheetml/2006/main" count="4914" uniqueCount="1710">
  <si>
    <t xml:space="preserve">Phone prospecting — construction projects (Infopro "DRINGEND" cards)</t>
  </si>
  <si>
    <t xml:space="preserve">91 PDF files · 108 projects · 204 contacts. The figures below update automatically from the Calls sheet.</t>
  </si>
  <si>
    <t xml:space="preserve">Overview</t>
  </si>
  <si>
    <t xml:space="preserve">Contacts by status</t>
  </si>
  <si>
    <t xml:space="preserve">Projects</t>
  </si>
  <si>
    <t xml:space="preserve">Status</t>
  </si>
  <si>
    <t xml:space="preserve">Contacts</t>
  </si>
  <si>
    <t xml:space="preserve">Contacts to call</t>
  </si>
  <si>
    <t xml:space="preserve">To call</t>
  </si>
  <si>
    <t xml:space="preserve">Contacts without a phone number</t>
  </si>
  <si>
    <t xml:space="preserve">Call back</t>
  </si>
  <si>
    <t xml:space="preserve">Total works value</t>
  </si>
  <si>
    <t xml:space="preserve">duplicates included</t>
  </si>
  <si>
    <t xml:space="preserve">Follow-up by email</t>
  </si>
  <si>
    <t xml:space="preserve">Interested</t>
  </si>
  <si>
    <t xml:space="preserve">Call progress</t>
  </si>
  <si>
    <t xml:space="preserve">Meeting booked</t>
  </si>
  <si>
    <t xml:space="preserve">Contacts called (≥ 1 attempt)</t>
  </si>
  <si>
    <t xml:space="preserve">Quote requested</t>
  </si>
  <si>
    <t xml:space="preserve">Coverage rate</t>
  </si>
  <si>
    <t xml:space="preserve">Not interested</t>
  </si>
  <si>
    <t xml:space="preserve">Total attempts</t>
  </si>
  <si>
    <t xml:space="preserve">Already has a supplier</t>
  </si>
  <si>
    <t xml:space="preserve">Contacts reached</t>
  </si>
  <si>
    <t xml:space="preserve">Not a fit</t>
  </si>
  <si>
    <t xml:space="preserve">Reach rate</t>
  </si>
  <si>
    <t xml:space="preserve">reached / called</t>
  </si>
  <si>
    <t xml:space="preserve">Project completed / cancelled</t>
  </si>
  <si>
    <t xml:space="preserve">Interested + meetings + quotes</t>
  </si>
  <si>
    <t xml:space="preserve">Closed – no current need</t>
  </si>
  <si>
    <t xml:space="preserve">Conversion rate</t>
  </si>
  <si>
    <t xml:space="preserve">qualified / reached</t>
  </si>
  <si>
    <t xml:space="preserve">Total</t>
  </si>
  <si>
    <t xml:space="preserve">Overdue follow-ups</t>
  </si>
  <si>
    <t xml:space="preserve">Contacts by priority</t>
  </si>
  <si>
    <t xml:space="preserve">Priority</t>
  </si>
  <si>
    <t xml:space="preserve">Still to call</t>
  </si>
  <si>
    <t xml:space="preserve">A</t>
  </si>
  <si>
    <t xml:space="preserve">B</t>
  </si>
  <si>
    <t xml:space="preserve">C</t>
  </si>
  <si>
    <t xml:space="preserve">Projects by stage</t>
  </si>
  <si>
    <t xml:space="preserve">Stage</t>
  </si>
  <si>
    <t xml:space="preserve">Permit application filed</t>
  </si>
  <si>
    <t xml:space="preserve">Permit granted</t>
  </si>
  <si>
    <t xml:space="preserve">Reminders</t>
  </si>
  <si>
    <t xml:space="preserve">1. On the Calls sheet, filter Status = "To call" and sort by Priority.</t>
  </si>
  <si>
    <t xml:space="preserve">2. Fill in the yellow columns straight after each call (result, status, date, follow-up).</t>
  </si>
  <si>
    <t xml:space="preserve">3. Never leave a row open without a follow-up date: overdue follow-ups turn red.</t>
  </si>
  <si>
    <t xml:space="preserve">4. "Linked projects" &gt; 1: the same person handles several projects, so cover them in one call.</t>
  </si>
  <si>
    <t xml:space="preserve">5. Open the PDF named in column A for the full project card.</t>
  </si>
  <si>
    <t xml:space="preserve">How to use this prospecting file</t>
  </si>
  <si>
    <t xml:space="preserve">Sheets</t>
  </si>
  <si>
    <t xml:space="preserve">Dashboard</t>
  </si>
  <si>
    <t xml:space="preserve">Automatically calculated indicators (progress, reach rate, conversion, overdue follow-ups).</t>
  </si>
  <si>
    <t xml:space="preserve">Calls</t>
  </si>
  <si>
    <t xml:space="preserve">The call list: one row per contact and per project. This is where you work.</t>
  </si>
  <si>
    <t xml:space="preserve">One row per project (= one PDF page), with all the data extracted from the card.</t>
  </si>
  <si>
    <t xml:space="preserve">Lists</t>
  </si>
  <si>
    <t xml:space="preserve">Drop-down values and priority thresholds (editable).</t>
  </si>
  <si>
    <t xml:space="preserve">Colour code</t>
  </si>
  <si>
    <t xml:space="preserve">Dark teal header</t>
  </si>
  <si>
    <t xml:space="preserve">Data extracted from the PDFs (do not edit, except to correct).</t>
  </si>
  <si>
    <t xml:space="preserve">Orange header + yellow cells</t>
  </si>
  <si>
    <t xml:space="preserve">Columns to fill in while calling.</t>
  </si>
  <si>
    <t xml:space="preserve">Grey header</t>
  </si>
  <si>
    <t xml:space="preserve">Extra details: grouped columns, click the "−" above them to hide them.</t>
  </si>
  <si>
    <t xml:space="preserve">Green row</t>
  </si>
  <si>
    <t xml:space="preserve">Prospect interested, meeting booked or quote requested.</t>
  </si>
  <si>
    <t xml:space="preserve">Greyed-out row</t>
  </si>
  <si>
    <t xml:space="preserve">Closed (not interested, not a fit, already has a supplier, project completed).</t>
  </si>
  <si>
    <t xml:space="preserve">Red follow-up date</t>
  </si>
  <si>
    <t xml:space="preserve">Overdue follow-up on a row that is still open: deal with it first.</t>
  </si>
  <si>
    <t xml:space="preserve">"To be found" (orange)</t>
  </si>
  <si>
    <t xml:space="preserve">No number on the card: look it up on local.ch / search.ch / the company website.</t>
  </si>
  <si>
    <t xml:space="preserve">Columns to fill in</t>
  </si>
  <si>
    <t xml:space="preserve">Last call result</t>
  </si>
  <si>
    <t xml:space="preserve">What happened: reached (right person or gatekeeper), voicemail, no answer, busy, wrong number.</t>
  </si>
  <si>
    <t xml:space="preserve">Where the prospect stands: to call → call back → interested → meeting / quote; or closed.</t>
  </si>
  <si>
    <t xml:space="preserve">Attempts</t>
  </si>
  <si>
    <t xml:space="preserve">Add one per call (good practice: 5 to 6 attempts at most before closing).</t>
  </si>
  <si>
    <t xml:space="preserve">Last call date</t>
  </si>
  <si>
    <t xml:space="preserve">Date of the last call (Ctrl + ; inserts today's date).</t>
  </si>
  <si>
    <t xml:space="preserve">Next action / Follow-up date</t>
  </si>
  <si>
    <t xml:space="preserve">Always an action and a date, unless the row is closed.</t>
  </si>
  <si>
    <t xml:space="preserve">Notes</t>
  </si>
  <si>
    <t xml:space="preserve">Name and role of the person reached, stated need, objection, best time to call back.</t>
  </si>
  <si>
    <t xml:space="preserve">Example of a filled-in row</t>
  </si>
  <si>
    <t xml:space="preserve">Reached – gatekeeper / switchboard</t>
  </si>
  <si>
    <t xml:space="preserve">2</t>
  </si>
  <si>
    <t xml:space="preserve">14/10/2026</t>
  </si>
  <si>
    <t xml:space="preserve">Next action</t>
  </si>
  <si>
    <t xml:space="preserve">Follow-up date</t>
  </si>
  <si>
    <t xml:space="preserve">16/10/2026</t>
  </si>
  <si>
    <t xml:space="preserve">Switchboard: Mr Franco (facilities manager) on a site visit, call back Thursday after 2pm. 3rd-floor project confirmed.</t>
  </si>
  <si>
    <t xml:space="preserve">Glossary (cards are in German)</t>
  </si>
  <si>
    <t xml:space="preserve">Owner / client (Bauherr)</t>
  </si>
  <si>
    <t xml:space="preserve">The end client: the owner or tenant commissioning the works.</t>
  </si>
  <si>
    <t xml:space="preserve">Architect / planner</t>
  </si>
  <si>
    <t xml:space="preserve">The firm that designs the project and often specifies the suppliers.</t>
  </si>
  <si>
    <t xml:space="preserve">Baugesuch eingereicht: project awaiting approval, works still to come (earliest point to get in).</t>
  </si>
  <si>
    <t xml:space="preserve">Baubewilligung erteilt: approval obtained, works starting soon (urgent).</t>
  </si>
  <si>
    <t xml:space="preserve">Infopro project ref.</t>
  </si>
  <si>
    <t xml:space="preserve">Objektnummer: unique project ID at Infopro Digital (Baublatt).</t>
  </si>
  <si>
    <t xml:space="preserve">Notes on the data</t>
  </si>
  <si>
    <t xml:space="preserve">Source</t>
  </si>
  <si>
    <t xml:space="preserve">Automatic extraction of the 91 PDFs in the "harworth" folder (Infopro Digital Schweiz cards).</t>
  </si>
  <si>
    <t xml:space="preserve">Original language</t>
  </si>
  <si>
    <t xml:space="preserve">Company names, addresses, project titles and descriptions are kept as they appear in the PDFs (mostly French).</t>
  </si>
  <si>
    <t xml:space="preserve">Multi-page files</t>
  </si>
  <si>
    <t xml:space="preserve">Some PDFs contain several projects: the "Page" column gives the project's page.</t>
  </si>
  <si>
    <t xml:space="preserve">Duplicates</t>
  </si>
  <si>
    <t xml:space="preserve">3 projects appear in two different files ("Duplicate" column): call them only once.</t>
  </si>
  <si>
    <t xml:space="preserve">Summary table</t>
  </si>
  <si>
    <t xml:space="preserve">5 contacts come from the short table at the bottom of the card (name, town and phone only).</t>
  </si>
  <si>
    <t xml:space="preserve">Works values</t>
  </si>
  <si>
    <t xml:space="preserve">Works value as stated by Infopro (an estimate, converted from "Mio CHF").</t>
  </si>
  <si>
    <t xml:space="preserve">PDF file</t>
  </si>
  <si>
    <t xml:space="preserve">Page</t>
  </si>
  <si>
    <t xml:space="preserve">Role</t>
  </si>
  <si>
    <t xml:space="preserve">Company</t>
  </si>
  <si>
    <t xml:space="preserve">Contact person</t>
  </si>
  <si>
    <t xml:space="preserve">Phone</t>
  </si>
  <si>
    <t xml:space="preserve">Email</t>
  </si>
  <si>
    <t xml:space="preserve">Project</t>
  </si>
  <si>
    <t xml:space="preserve">Site location</t>
  </si>
  <si>
    <t xml:space="preserve">Works value (CHF)</t>
  </si>
  <si>
    <t xml:space="preserve">Linked projects (same contact)</t>
  </si>
  <si>
    <t xml:space="preserve">Notes / person reached</t>
  </si>
  <si>
    <t xml:space="preserve">Stage date</t>
  </si>
  <si>
    <t xml:space="preserve">Contact address</t>
  </si>
  <si>
    <t xml:space="preserve">Website</t>
  </si>
  <si>
    <t xml:space="preserve">Site address</t>
  </si>
  <si>
    <t xml:space="preserve">Category</t>
  </si>
  <si>
    <t xml:space="preserve">Project description</t>
  </si>
  <si>
    <t xml:space="preserve">Contact source</t>
  </si>
  <si>
    <t xml:space="preserve">Duplicate</t>
  </si>
  <si>
    <t xml:space="preserve">DRINGEND 4.pdf</t>
  </si>
  <si>
    <t xml:space="preserve">Owner / client</t>
  </si>
  <si>
    <t xml:space="preserve">YNEO SA</t>
  </si>
  <si>
    <t xml:space="preserve">Nicky Suter</t>
  </si>
  <si>
    <t xml:space="preserve">022 307 99 00</t>
  </si>
  <si>
    <t xml:space="preserve">info@yneo.ch</t>
  </si>
  <si>
    <t xml:space="preserve">Aménagement d'un espace de coworking</t>
  </si>
  <si>
    <t xml:space="preserve">1213 Petit-Lancy</t>
  </si>
  <si>
    <t xml:space="preserve">Reception reached on 02/10/2026. Receptionist explained that Nicky Suter does not work on Fridays. Call back Monday afternoon and ask directly for Nicky Suter, Fit-out &amp; Communications Manager.
Secondary relevant contact: Melvin Bertagna, Site &amp; Supplier Relations Manager.
Chancy 59 appears to be already operational. The objective of the next call is therefore to qualify both this project and YNEO as a potential recurring Haworth account: current furniture supplier(s), whether suppliers are exclusive or selected project by project, upcoming fit-outs, new locations and refurbishment projects.
YNEO operates several office locations in Geneva and ergonomic furniture is part of its client offering.
Avoid referring to YNEO as a "coworking" operator during the call. Refer instead to their office locations / workspaces.</t>
  </si>
  <si>
    <t xml:space="preserve">3417573</t>
  </si>
  <si>
    <t xml:space="preserve">Route de Florissant 2, 1206 Genève</t>
  </si>
  <si>
    <t xml:space="preserve">http://www.yneo.ch</t>
  </si>
  <si>
    <t xml:space="preserve">Route de Chancy 59, 1213 Petit-Lancy</t>
  </si>
  <si>
    <t xml:space="preserve">Commerce and administration</t>
  </si>
  <si>
    <t xml:space="preserve">Aménagement d'un espace de coworking au 3ème étage.</t>
  </si>
  <si>
    <t xml:space="preserve">Detail card</t>
  </si>
  <si>
    <t xml:space="preserve">Marques</t>
  </si>
  <si>
    <t xml:space="preserve">To be found</t>
  </si>
  <si>
    <t xml:space="preserve">Qualify through owner</t>
  </si>
  <si>
    <t xml:space="preserve">Do not call yet.
"Marques" could not be reliably identified as the architect/planner for project reference 3417573 / Chancy 59 from the available information.
Qualify this contact during the callback to Nicky Suter at YNEO on 05/10/2026.
Ask whether fit-out, furniture specification and design are handled internally by YNEO or with an external architect/planner.
If external, obtain:
- exact company name
- contact person
- role
- phone/email if available
Same project as the YNEO SA Owner / client row.</t>
  </si>
  <si>
    <t xml:space="preserve">1205 Genève</t>
  </si>
  <si>
    <t xml:space="preserve">DRINGEND 5.pdf</t>
  </si>
  <si>
    <t xml:space="preserve">Yara Clean Ammonia Switzerland SA</t>
  </si>
  <si>
    <t xml:space="preserve">Ms Marie Demaison</t>
  </si>
  <si>
    <t xml:space="preserve">Aménagement de bureau</t>
  </si>
  <si>
    <t xml:space="preserve">1206 Genève</t>
  </si>
  <si>
    <t xml:space="preserve">Reached – project completed / no opportunity</t>
  </si>
  <si>
    <t xml:space="preserve">None</t>
  </si>
  <si>
    <t xml:space="preserve">Project is completed.
The works were related to an office relocation. Yara did not purchase new furniture as part of the move.
The contact confirmed that there are currently no other office fit-out, refurbishment or furniture projects planned and therefore no current need for Haworth.
No follow-up required unless a new project is identified in the future.</t>
  </si>
  <si>
    <t xml:space="preserve">3416972</t>
  </si>
  <si>
    <t xml:space="preserve">Route de Florissant 13, 1206 Genève</t>
  </si>
  <si>
    <t xml:space="preserve">Aménagement de bureau au 7ème étage.</t>
  </si>
  <si>
    <t xml:space="preserve">TJCA SA</t>
  </si>
  <si>
    <t xml:space="preserve">Ms Sabrina Harri</t>
  </si>
  <si>
    <t xml:space="preserve">022 869 88 44</t>
  </si>
  <si>
    <t xml:space="preserve">admin@tjca.ch</t>
  </si>
  <si>
    <t xml:space="preserve">Not reachable</t>
  </si>
  <si>
    <t xml:space="preserve">Attempted to reach Sabrina Harri regarding project reference 3416972 and TJCA's office fit-out / furniture specification activities.
Not reachable.
Call back on Monday 05/10/2026.
The Yara project itself is already completed, so the objective of the next call is not to reopen that project. The objective is to qualify TJCA as a potential recurring architect / furniture prescriber for other office projects and identify any current projects where furniture specification is still open.
Direct line identified for Sabrina Harri: 022 869 88 27.
Email identified: sabrina.harri@tjca.ch</t>
  </si>
  <si>
    <t xml:space="preserve">Chemin de la Bessonnette 7, 1224 Chêne-Bougeries</t>
  </si>
  <si>
    <t xml:space="preserve">http://www.tjca.ch</t>
  </si>
  <si>
    <t xml:space="preserve">DRINGEND 6.pdf</t>
  </si>
  <si>
    <t xml:space="preserve">von Rundstedt &amp; Partner Suisse SA, succursale de Genève</t>
  </si>
  <si>
    <t xml:space="preserve">Ms Anne Donou</t>
  </si>
  <si>
    <t xml:space="preserve">058 332 26 00</t>
  </si>
  <si>
    <t xml:space="preserve">geneve@rundstedt.ch</t>
  </si>
  <si>
    <t xml:space="preserve">Transformation et rénovation de bureaux</t>
  </si>
  <si>
    <t xml:space="preserve">1202 Genève</t>
  </si>
  <si>
    <t xml:space="preserve">Reached – project completed / no current opportunity</t>
  </si>
  <si>
    <t xml:space="preserve">Contact confirmed that the company has already completed its move.
There are currently no additional office relocation, refurbishment, fit-out or furniture projects planned.
No current opportunity for Haworth.
No follow-up required unless a new project is identified in the future.</t>
  </si>
  <si>
    <t xml:space="preserve">3416925</t>
  </si>
  <si>
    <t xml:space="preserve">Boulevard Georges-Favon 18, 1204 Genève</t>
  </si>
  <si>
    <t xml:space="preserve">http://www.rundstedt.ch</t>
  </si>
  <si>
    <t xml:space="preserve">Rue de Lausanne 80, 1202 Genève</t>
  </si>
  <si>
    <t xml:space="preserve">Transformation et rénovation de bureaux au 6ème étage.</t>
  </si>
  <si>
    <t xml:space="preserve">RIS + Partenaires Architectes SA</t>
  </si>
  <si>
    <t xml:space="preserve">Mr Antoine Ris</t>
  </si>
  <si>
    <t xml:space="preserve">022 707 00 70</t>
  </si>
  <si>
    <t xml:space="preserve">projets@ris-partenaires.ch</t>
  </si>
  <si>
    <t xml:space="preserve">Reached – contact unavailable</t>
  </si>
  <si>
    <t xml:space="preserve">Call back and ask for Mr Antoine Ris</t>
  </si>
  <si>
    <t xml:space="preserve">Reached RIS + Partenaires Architectes SA.
Mr Antoine Ris was not available.
Call back next week and ask directly for Mr Ris.
The original Alixio / von Rundstedt project reference 3416925 is already completed. The objective of the next call is therefore to qualify RIS + Partenaires as a potential recurring architect / furniture prescriber for future office fit-out projects.
Key points to qualify on the next call:
- whether RIS directly specifies office furniture
- whether Haworth is already known or used
- current or upcoming office projects where furniture specification is still open
- usual furniture brands / suppliers
- possibility of a physical meeting with Manojlo Jelic</t>
  </si>
  <si>
    <t xml:space="preserve">Avenue Rosemont 10, 1208 Genève</t>
  </si>
  <si>
    <t xml:space="preserve">http://www.ris-partenaires.ch</t>
  </si>
  <si>
    <t xml:space="preserve">DRINGEND 7.pdf</t>
  </si>
  <si>
    <t xml:space="preserve">Ville de Morges</t>
  </si>
  <si>
    <t xml:space="preserve">021 804 96 40</t>
  </si>
  <si>
    <t xml:space="preserve">greffe@morges.ch</t>
  </si>
  <si>
    <t xml:space="preserve">Transformation d'une école de voile</t>
  </si>
  <si>
    <t xml:space="preserve">1110 Morges</t>
  </si>
  <si>
    <t xml:space="preserve">Voicemail / no answer</t>
  </si>
  <si>
    <t xml:space="preserve">Attempted to reach the relevant contact regarding project reference 3412698.
Call went to voicemail / no answer.
Retry next week.
Project appears to still be potentially active and relevant for Haworth. The key objective on the next call is to determine:
- current project stage
- whether the furniture package is still open
- who is responsible for furniture specification and purchasing
- whether Club Nautique Morgien, Ville de Morges or Fehlmann Architectes is leading the furniture decision
- whether a separate tender / procurement procedure is planned
- timing for furniture selection
- possibility of an on-site meeting with Manojlo Jelic
Do not mark the opportunity as closed.</t>
  </si>
  <si>
    <t xml:space="preserve">3412698</t>
  </si>
  <si>
    <t xml:space="preserve">Place de l'Hôtel-de-Ville 1, code postale 272, 1110 Morges 1</t>
  </si>
  <si>
    <t xml:space="preserve">Place de la Navigation 1, 1110 Morges</t>
  </si>
  <si>
    <t xml:space="preserve">Transformation du bâtiment ECA no 2670b avec création d'un bureau (école de voile) et d'un espace privé de réunion de 50 places avec possibilité de restauration pour les membres. Création d'une terrasse extérieure de 40 places. Isolation périphérique et revêtement de 27 cm, ouvertures en façade. Façade en lame de bois ajour ..&gt;</t>
  </si>
  <si>
    <t xml:space="preserve">Fehlmann Architectes SA</t>
  </si>
  <si>
    <t xml:space="preserve">Mr Serge Fehlmann</t>
  </si>
  <si>
    <t xml:space="preserve">021 811 10 10</t>
  </si>
  <si>
    <t xml:space="preserve">info@farch.ch</t>
  </si>
  <si>
    <t xml:space="preserve">Reached reception – email requested</t>
  </si>
  <si>
    <t xml:space="preserve">Send targeted email to info@farch.ch for the attention of Mr Serge Fehlmann</t>
  </si>
  <si>
    <t xml:space="preserve">Reached Fehlmann Architectes SA by phone on 02/10/2026.
Reception explained that Mr Serge Fehlmann is unlikely to have time to handle this type of request by phone and specifically requested that the enquiry be sent by email to info@farch.ch.
The email address and domain have been verified against Fehlmann Architectes SA's current official website:
info@farch.ch
Domain: farch.ch
Do not send on Friday. Schedule the first email for Tuesday 06/10/2026 at approximately 09:00 Switzerland time.
Project reference 3412698 still appears potentially relevant. Fehlmann Architectes SA is the architect / planner associated with the Club Nautique Morgien project at Place de la Navigation 1.
Objective of the email:
- establish contact with Mr Serge Fehlmann / the architect currently responsible for the project
- determine the current stage of the project
- determine whether the furniture package is still open
- identify who specifies and selects the furniture
- understand whether a procurement / tender procedure is planned
- obtain a physical meeting with Haworth regional representative Manojlo Jelic if the furniture specification is still open
Important:
Do not treat the opportunity as closed.
Do not send a generic Haworth catalogue email.
The email should be short, project-specific and focused on the active Club Nautique Morgien project.</t>
  </si>
  <si>
    <t xml:space="preserve">Place du Casino 2, Case postale 460, 1110 Morges 1</t>
  </si>
  <si>
    <t xml:space="preserve">http://www.farch.ch</t>
  </si>
  <si>
    <t xml:space="preserve">DRINGEND 13.pdf</t>
  </si>
  <si>
    <t xml:space="preserve">Societe Immobiliere de la Place de la Gare A SA</t>
  </si>
  <si>
    <t xml:space="preserve">Aménagement d'un local d'exploitation - MBC</t>
  </si>
  <si>
    <t xml:space="preserve">IVR reached - unable to select menu option</t>
  </si>
  <si>
    <t xml:space="preserve">Retry MBC / resolve Aircall DTMF issue</t>
  </si>
  <si>
    <t xml:space="preserve">Called MBC at 021 811 43 43 regarding project reference 3403243.
Reached the automated telephone menu, but the Aircall keypad / DTMF input did not register, so it was not possible to reach the appropriate department.
The project remains potentially active.
A parallel contact attempt is being made through the project architect, Doutaz Architecture SA, under the separate Architect / planner row for project reference 3403243.</t>
  </si>
  <si>
    <t xml:space="preserve">3403243</t>
  </si>
  <si>
    <t xml:space="preserve">Grand-Rue 102, 1110 Morges</t>
  </si>
  <si>
    <t xml:space="preserve">Rue Centrale 29, 1110 Morges</t>
  </si>
  <si>
    <t xml:space="preserve">Industry and trade</t>
  </si>
  <si>
    <t xml:space="preserve">Aménagement d'un local d'exploitation : création d'un vestiaire pour hommes, d'un vestiaire pour femmes, d'une salle d'allaitement/conférence, d'une salle de repos, de douches et de WC, d'une salle de pause/cafétéria, d'un dégagement et d'un local fumeur.</t>
  </si>
  <si>
    <t xml:space="preserve">Doutaz Architecture SA</t>
  </si>
  <si>
    <t xml:space="preserve">Ms Anne Longchamp</t>
  </si>
  <si>
    <t xml:space="preserve">026 564 20 20</t>
  </si>
  <si>
    <t xml:space="preserve">info@doutaz-architecture.ch</t>
  </si>
  <si>
    <t xml:space="preserve">Voicemail - office closed / unavailable on Fridays</t>
  </si>
  <si>
    <t xml:space="preserve">Call back and ask for Anne Longchamp</t>
  </si>
  <si>
    <t xml:space="preserve">Called Doutaz Architecture SA on 02/10/2026 regarding project reference 3403243 / MBC premises at Rue Centrale 29, Morges.
Reached the office answering machine. The message indicated that the office does not answer calls on Fridays.
Call back on Monday 05/10/2026 and ask for Anne Longchamp.
Anne Longchamp has been identified as the architect associated with the MBC project.
Objective of next call:
- confirm current project stage
- determine whether the furniture package is still open
- establish whether Doutaz Architecture is responsible for furniture specification
- determine whether MBC or the architect selects the furniture suppliers
- identify any procurement / tender process
- determine expected timing for furniture selection
- assess opportunity for a physical meeting with Manojlo Jelic
Project remains potentially active. Do not close the opportunity.</t>
  </si>
  <si>
    <t xml:space="preserve">Route de Riaz 97, 1630 Bulle</t>
  </si>
  <si>
    <t xml:space="preserve">http://www.doutaz-sa.ch</t>
  </si>
  <si>
    <t xml:space="preserve">DRINGEND 15.pdf</t>
  </si>
  <si>
    <t xml:space="preserve">HIAG Immobilier Schweiz AG</t>
  </si>
  <si>
    <t xml:space="preserve">Mr Patrick Japhet</t>
  </si>
  <si>
    <t xml:space="preserve">022 304 10 30</t>
  </si>
  <si>
    <t xml:space="preserve">info@hiag.com</t>
  </si>
  <si>
    <t xml:space="preserve">Changement d'affectation</t>
  </si>
  <si>
    <t xml:space="preserve">1400 Yverdon-les-Bains</t>
  </si>
  <si>
    <t xml:space="preserve">No answer</t>
  </si>
  <si>
    <t xml:space="preserve">Call back and ask for Mr Patrick Japhet</t>
  </si>
  <si>
    <t xml:space="preserve">Attempted to reach Patrick Japhet regarding project reference 3404345 and the fit-out of a classroom at HIAG's Village 48 site in Yverdon-les-Bains.
No answer.
Call back on Monday 05/10/2026.
The specific classroom project may already be completed or advanced, but HIAG remains a potentially valuable account as a major real estate owner / developer in French-speaking Switzerland.
Objective of the next call:
- confirm whether project 3404345 is completed
- understand whether HIAG is involved in furniture selection for tenant fit-outs
- determine whether furniture decisions are handled by HIAG, tenants or architects
- identify the relevant person for interior fit-out / furniture in Western Switzerland
- identify any current or upcoming projects where furniture specification is still open
- assess potential for a physical meeting with Manojlo Jelic</t>
  </si>
  <si>
    <t xml:space="preserve">3404345</t>
  </si>
  <si>
    <t xml:space="preserve">Rue François-Bonivard 10, 1201 Genève</t>
  </si>
  <si>
    <t xml:space="preserve">http://www.hiag.com</t>
  </si>
  <si>
    <t xml:space="preserve">Avenue de Grandson 48, 1400 Yverdon-les-Bains</t>
  </si>
  <si>
    <t xml:space="preserve">Education and research</t>
  </si>
  <si>
    <t xml:space="preserve">Changement d'affectation. Aménagement d'une salle de classe dans les locaux existants.</t>
  </si>
  <si>
    <t xml:space="preserve">Studio 116 Architecture Architecte</t>
  </si>
  <si>
    <t xml:space="preserve">Mr Gaétan Mivelaz</t>
  </si>
  <si>
    <t xml:space="preserve">077 403 52 58</t>
  </si>
  <si>
    <t xml:space="preserve">archi@studio116.ch</t>
  </si>
  <si>
    <t xml:space="preserve">Chemin de la Fontaine 116, 1040 Echallens</t>
  </si>
  <si>
    <t xml:space="preserve">DRINGEND 19.pdf</t>
  </si>
  <si>
    <t xml:space="preserve">Commune de Lausanne</t>
  </si>
  <si>
    <t xml:space="preserve">021 315 49 49</t>
  </si>
  <si>
    <t xml:space="preserve">Transformations intérieures de l'ancien Office</t>
  </si>
  <si>
    <t xml:space="preserve">1003 Lausanne</t>
  </si>
  <si>
    <t xml:space="preserve">3415421</t>
  </si>
  <si>
    <t xml:space="preserve">Service des gérances, Place de Chaudron 9, 1003 Lausanne</t>
  </si>
  <si>
    <t xml:space="preserve">Place de la Navigation 6, 1003 Lausanne</t>
  </si>
  <si>
    <t xml:space="preserve">Transformations des locaux de l'ancien Office du tourisme au rez-de-chaussée pour la création d'un office bancaire avec installation d'un bancomat. Création de quatre guichets dont un fermé, une zone client, un sas de sécurité, un local de comptage, une cuisinette et un WC.</t>
  </si>
  <si>
    <t xml:space="preserve">B2 Architecture + Protection Incendie Sàrl</t>
  </si>
  <si>
    <t xml:space="preserve">Ms Sophie Blanc-Hutmacher</t>
  </si>
  <si>
    <t xml:space="preserve">079 774 39 47</t>
  </si>
  <si>
    <t xml:space="preserve">info@bcarre.ch</t>
  </si>
  <si>
    <t xml:space="preserve">Rue des Salines 6, 1852 Roche VD</t>
  </si>
  <si>
    <t xml:space="preserve">http://www.bcarre.ch</t>
  </si>
  <si>
    <t xml:space="preserve">DRINGEND 20.pdf</t>
  </si>
  <si>
    <t xml:space="preserve">INEA Ingénierie Civile et Architecture</t>
  </si>
  <si>
    <t xml:space="preserve">Mr Steve Porscha</t>
  </si>
  <si>
    <t xml:space="preserve">079 410 14 53</t>
  </si>
  <si>
    <t xml:space="preserve">Surélévation, agrandissement et rénovation</t>
  </si>
  <si>
    <t xml:space="preserve">1180 Rolle</t>
  </si>
  <si>
    <t xml:space="preserve">3399157</t>
  </si>
  <si>
    <t xml:space="preserve">Chemin de la Marjolatte 53, 1052 Le Mont-sur-Lausanne</t>
  </si>
  <si>
    <t xml:space="preserve">Route de Lausanne 4, 1180 Rolle</t>
  </si>
  <si>
    <t xml:space="preserve">Surélévation, agrandissement et rénovation de 2 bâtiments industriels - création de surfaces de bureaux et d'espaces pour la recherche et développement d'équipements de sécurité. Agrandissement en structure métallique, façades en panneaux sandwich, toiture en panneaux sandwich, reconstruction et isolation des toiture basse. ..&gt;</t>
  </si>
  <si>
    <t xml:space="preserve">DRINGEND 24.pdf</t>
  </si>
  <si>
    <t xml:space="preserve">Organisation météorologique mondiale - OMM</t>
  </si>
  <si>
    <t xml:space="preserve">Mr Anthony Duncker</t>
  </si>
  <si>
    <t xml:space="preserve">022 730 81 11</t>
  </si>
  <si>
    <t xml:space="preserve">wmo@wmo.int</t>
  </si>
  <si>
    <t xml:space="preserve">Transformations intérieures, raccordement bâtiment</t>
  </si>
  <si>
    <t xml:space="preserve">3237651</t>
  </si>
  <si>
    <t xml:space="preserve">World Meteorological Organization - WMO, Avenue de la Paix 7bis, Case postale, 1211 Genève 1</t>
  </si>
  <si>
    <t xml:space="preserve">http://www.wmo.int</t>
  </si>
  <si>
    <t xml:space="preserve">Avenue de la Paix 7bis, 1202 Genève</t>
  </si>
  <si>
    <t xml:space="preserve">Transformations intérieures, aménagements extérieurs, raccordement du bâtiment au Genilac. Nouvelle prolongation de l'autorisation jusqu'au 19.12.2026</t>
  </si>
  <si>
    <t xml:space="preserve">Groupe H Architecture et Ingénierie SA</t>
  </si>
  <si>
    <t xml:space="preserve">Mr Nikola Radovanovic</t>
  </si>
  <si>
    <t xml:space="preserve">022 782 05 40</t>
  </si>
  <si>
    <t xml:space="preserve">architectes-ch@groupe-h.com</t>
  </si>
  <si>
    <t xml:space="preserve">Chemin du Grand-Puits 42, 1217 Meyrin</t>
  </si>
  <si>
    <t xml:space="preserve">http://www.groupe-h.com</t>
  </si>
  <si>
    <t xml:space="preserve">DRINGEND 26.pdf</t>
  </si>
  <si>
    <t xml:space="preserve">TESK Immo Sàrl</t>
  </si>
  <si>
    <t xml:space="preserve">Transformation et agrandissement d'un dépôt</t>
  </si>
  <si>
    <t xml:space="preserve">2852 Courtételle</t>
  </si>
  <si>
    <t xml:space="preserve">3415587</t>
  </si>
  <si>
    <t xml:space="preserve">Rue de la Rauracie 2, 2842 Rossemaison</t>
  </si>
  <si>
    <t xml:space="preserve">Rue du Vieux-Moulin 53, 2852 Courtételle</t>
  </si>
  <si>
    <t xml:space="preserve">Description du projet: Transformation et agrandissement du bâtiment No 53 pour bureaux, salle de conférence et exposition, pose de panneaux solaires, toiture et remplacement du chauffage à mazout par 2 PACS en façade sud, percement de 5 fenêtres au sud et 2 fenêtres au nord et construction d'un pavillon pour espace présenta ..&gt;</t>
  </si>
  <si>
    <t xml:space="preserve">AHD Architecture</t>
  </si>
  <si>
    <t xml:space="preserve">077 985 29 64</t>
  </si>
  <si>
    <t xml:space="preserve">info@ahdarchitecture.ch</t>
  </si>
  <si>
    <t xml:space="preserve">Rue Emile-Boéchat 42, 2800 Delémont</t>
  </si>
  <si>
    <t xml:space="preserve">DRINGEND 28.pdf</t>
  </si>
  <si>
    <t xml:space="preserve">Top Store Braun Sàrl</t>
  </si>
  <si>
    <t xml:space="preserve">079 450 52 78</t>
  </si>
  <si>
    <t xml:space="preserve">info@top-stores.ch</t>
  </si>
  <si>
    <t xml:space="preserve">Construction bâtiment de bureaux, espace stockage</t>
  </si>
  <si>
    <t xml:space="preserve">2803 Bourrignon</t>
  </si>
  <si>
    <t xml:space="preserve">3401566</t>
  </si>
  <si>
    <t xml:space="preserve">Droit Mont 1, 2803 Bourrignon</t>
  </si>
  <si>
    <t xml:space="preserve">http://www.top-stores.ch</t>
  </si>
  <si>
    <t xml:space="preserve">Route Principale, 2803 Bourrignon</t>
  </si>
  <si>
    <t xml:space="preserve">Description de l'ouvrage: Construction d'un bâtiment qui abritera des bureaux, un espace de stockage et un garage pour une voiture. Dimensions: Longueur 17,60m, largeur 8,80m, hauteur 4,98m, hauteur totale 6,63m. Genre de construction: Matériaux façades: enduit intérieur, brique TC, lame d'air, isolation, brique ciment, end ..&gt;</t>
  </si>
  <si>
    <t xml:space="preserve">General contractor</t>
  </si>
  <si>
    <t xml:space="preserve">360° Comte Entreprise Générale SA</t>
  </si>
  <si>
    <t xml:space="preserve">032 422 15 23</t>
  </si>
  <si>
    <t xml:space="preserve">info@gcomte.ch</t>
  </si>
  <si>
    <t xml:space="preserve">Route de Moutier 93, 2800 Delémont</t>
  </si>
  <si>
    <t xml:space="preserve">http://www.360-comtesa.ch</t>
  </si>
  <si>
    <t xml:space="preserve">DRINGEND 29.pdf</t>
  </si>
  <si>
    <t xml:space="preserve">Braumann AG</t>
  </si>
  <si>
    <t xml:space="preserve">Mr Jörg Braumann</t>
  </si>
  <si>
    <t xml:space="preserve">026 673 21 74</t>
  </si>
  <si>
    <t xml:space="preserve">info@braumann.ch</t>
  </si>
  <si>
    <t xml:space="preserve">Rénovation d'un ancien bâtiment industriel</t>
  </si>
  <si>
    <t xml:space="preserve">1786 Sugiez</t>
  </si>
  <si>
    <t xml:space="preserve">3330462</t>
  </si>
  <si>
    <t xml:space="preserve">Route de l'Industrie 8, 1786 Sugiez</t>
  </si>
  <si>
    <t xml:space="preserve">http://www.braumann.ch</t>
  </si>
  <si>
    <t xml:space="preserve">Chemin du Chablais 46, 1786 Sugiez</t>
  </si>
  <si>
    <t xml:space="preserve">Rénovation d'un ancien bâtiment industriel, ancienne halle transformé en espace de bureaux. Il s'agit essentiellement de travaux intérieurs de charpente, menuiserie intérieure, gipserie, électricité, chauffage sanitaire, revêtement intérieurs.</t>
  </si>
  <si>
    <t xml:space="preserve">Atelier Pulver Architectes SA</t>
  </si>
  <si>
    <t xml:space="preserve">026 673 03 63</t>
  </si>
  <si>
    <t xml:space="preserve">info@aparchitectes.ch</t>
  </si>
  <si>
    <t xml:space="preserve">Route Principale 70, Case postale 9, 1786 Sugiez</t>
  </si>
  <si>
    <t xml:space="preserve">http://www.atelierpulver.ch</t>
  </si>
  <si>
    <t xml:space="preserve">DRINGEND 32 .pdf</t>
  </si>
  <si>
    <t xml:space="preserve">Sébastien Louis, Aline Raymonde et Anne Cécile Gampert</t>
  </si>
  <si>
    <t xml:space="preserve">022 732 15 94</t>
  </si>
  <si>
    <t xml:space="preserve">Changement d'affectation du logement en théâtre</t>
  </si>
  <si>
    <t xml:space="preserve">1223 Cologny</t>
  </si>
  <si>
    <t xml:space="preserve">3358808</t>
  </si>
  <si>
    <t xml:space="preserve">c/o atelier balan semadeni SNC, Avenue Blanc 51, 1202 Genève</t>
  </si>
  <si>
    <t xml:space="preserve">Chemin de Ruth 16, 1223 Cologny</t>
  </si>
  <si>
    <t xml:space="preserve">Culture and leisure</t>
  </si>
  <si>
    <t xml:space="preserve">Rénovation du toit et des fenêtres, transformation intérieure et changement d'affectation du logement en théâtre</t>
  </si>
  <si>
    <t xml:space="preserve">Atelier Balan Semadeni SNC</t>
  </si>
  <si>
    <t xml:space="preserve">Ms Stefana Alexandra Balan Semadeni</t>
  </si>
  <si>
    <t xml:space="preserve">info@balansemadeni.ch</t>
  </si>
  <si>
    <t xml:space="preserve">Avenue Blanc 51, 1202 Genève</t>
  </si>
  <si>
    <t xml:space="preserve">http://www.balansemadeni.ch</t>
  </si>
  <si>
    <t xml:space="preserve">DRINGEND 32.pdf</t>
  </si>
  <si>
    <t xml:space="preserve">Etat de Genève-Département des Finances-Office des bâtiments</t>
  </si>
  <si>
    <t xml:space="preserve">022 546 62 15</t>
  </si>
  <si>
    <t xml:space="preserve">infodcti@etat.ge.ch</t>
  </si>
  <si>
    <t xml:space="preserve">Cycle d'orientation du Foron (101317000054)</t>
  </si>
  <si>
    <t xml:space="preserve">1226 Thônex</t>
  </si>
  <si>
    <t xml:space="preserve">3235065</t>
  </si>
  <si>
    <t xml:space="preserve">Services des constructions et transformations, Boulevard de Saint-Georges 16/18, Case postale 32, 1211 Genève 8</t>
  </si>
  <si>
    <t xml:space="preserve">http://www.ge.ch</t>
  </si>
  <si>
    <t xml:space="preserve">Chemin du Foron 43, 1226 Thônex</t>
  </si>
  <si>
    <t xml:space="preserve">Cycle d'orientation du Foron - extension du bâtiment par surélévation et aménagement de 12 classes de cours - façade bois , toit plat en parti végétalisé - modification du stationnement - abattage et/ou élagage d'arbres hors forêt (RCVA)</t>
  </si>
  <si>
    <t xml:space="preserve">Same project as e_DRINGEND 83.pdf (p.2)</t>
  </si>
  <si>
    <t xml:space="preserve">Etat de Genève, Département du territoire (DT)</t>
  </si>
  <si>
    <t xml:space="preserve">022 546 62 00</t>
  </si>
  <si>
    <t xml:space="preserve">ocbasac-marchespublics@etat.ge.ch</t>
  </si>
  <si>
    <t xml:space="preserve">Office cantonal des bâtiments (OCBA), Route des Jeunes 1A, Case postale 32, 1211 Genève 8</t>
  </si>
  <si>
    <t xml:space="preserve">Dep. des Infrastructures (DI) - Office cantonal des bâtiments - Direction des Rénovations et Transformations</t>
  </si>
  <si>
    <t xml:space="preserve">022 546 53 90</t>
  </si>
  <si>
    <t xml:space="preserve">A-ARCHITECTES Sàrl</t>
  </si>
  <si>
    <t xml:space="preserve">022 797 50 50</t>
  </si>
  <si>
    <t xml:space="preserve">DRINGEND 43.pdf</t>
  </si>
  <si>
    <t xml:space="preserve">NAEF Surville SA</t>
  </si>
  <si>
    <t xml:space="preserve">022 839 39 39</t>
  </si>
  <si>
    <t xml:space="preserve">Aménagement intérieur de bureaux au 10ème étage</t>
  </si>
  <si>
    <t xml:space="preserve">3385673</t>
  </si>
  <si>
    <t xml:space="preserve">Esplanade de Surville 2, 1213 Petit-Lancy</t>
  </si>
  <si>
    <t xml:space="preserve">http://www.naef.ch</t>
  </si>
  <si>
    <t xml:space="preserve">Alios SA</t>
  </si>
  <si>
    <t xml:space="preserve">Mr José Castro</t>
  </si>
  <si>
    <t xml:space="preserve">022 839 37 78</t>
  </si>
  <si>
    <t xml:space="preserve">info@alios-sa.ch</t>
  </si>
  <si>
    <t xml:space="preserve">Avenue Eugène-Pittard 16, Case postale 6195, 1211 Genève 6</t>
  </si>
  <si>
    <t xml:space="preserve">http://www.alios-sa.ch</t>
  </si>
  <si>
    <t xml:space="preserve">DRINGEND 44.pdf</t>
  </si>
  <si>
    <t xml:space="preserve">Etat de Genève - Département des Infrastructures (DI)</t>
  </si>
  <si>
    <t xml:space="preserve">Mr Sandro Simioni</t>
  </si>
  <si>
    <t xml:space="preserve">Construction d'une classe provisoire</t>
  </si>
  <si>
    <t xml:space="preserve">3385717</t>
  </si>
  <si>
    <t xml:space="preserve">Office Cantonal des bâtiments (OCBA), Route des Jeunes 1a, Case postale 32, 1211 Genève 8</t>
  </si>
  <si>
    <t xml:space="preserve">Construction d'une classe provisoire (durée 15 mois) dans le cadre de la surélévation du cycle d'orientation du Foron</t>
  </si>
  <si>
    <t xml:space="preserve">Glauco Lombardi Architectes Associés SA</t>
  </si>
  <si>
    <t xml:space="preserve">Mr Quentin Poncet</t>
  </si>
  <si>
    <t xml:space="preserve">022 827 62 00</t>
  </si>
  <si>
    <t xml:space="preserve">contact@glaucolombardi.ch</t>
  </si>
  <si>
    <t xml:space="preserve">Chemin de la Gravière 6, 1227 Les Acacias</t>
  </si>
  <si>
    <t xml:space="preserve">http://www.glaucolombardi.ch</t>
  </si>
  <si>
    <t xml:space="preserve">DRINGEND 45.pdf</t>
  </si>
  <si>
    <t xml:space="preserve">Hospice général, institution genevoise d'action sociale</t>
  </si>
  <si>
    <t xml:space="preserve">Ms Ersilia Salvi</t>
  </si>
  <si>
    <t xml:space="preserve">022 420 52 00</t>
  </si>
  <si>
    <t xml:space="preserve">contact@hospicegeneral.ch</t>
  </si>
  <si>
    <t xml:space="preserve">Aménagement de bureaux au 2ème et 5ème étage</t>
  </si>
  <si>
    <t xml:space="preserve">1227 Carouge GE</t>
  </si>
  <si>
    <t xml:space="preserve">3385686</t>
  </si>
  <si>
    <t xml:space="preserve">Cours de Rive 12, Case postale 3360, 1211 Genève 3</t>
  </si>
  <si>
    <t xml:space="preserve">http://www.hospicegeneral.ch</t>
  </si>
  <si>
    <t xml:space="preserve">Route des Acacias 54, 54bis, 1227 Carouge GE</t>
  </si>
  <si>
    <t xml:space="preserve">BKST Architectes SA</t>
  </si>
  <si>
    <t xml:space="preserve">Mr Bakir Mustajbegovic</t>
  </si>
  <si>
    <t xml:space="preserve">022 575 61 20</t>
  </si>
  <si>
    <t xml:space="preserve">info@bkst-architectes.ch</t>
  </si>
  <si>
    <t xml:space="preserve">Route des Acacias 43, 1227 Carouge GE</t>
  </si>
  <si>
    <t xml:space="preserve">http://www.bkst-architectes.ch</t>
  </si>
  <si>
    <t xml:space="preserve">DRINGEND 46.pdf</t>
  </si>
  <si>
    <t xml:space="preserve">Hôpitaux Universitaires de Genève (HUG)</t>
  </si>
  <si>
    <t xml:space="preserve">Mr Jean-Charles Raetz</t>
  </si>
  <si>
    <t xml:space="preserve">022 372 33 11</t>
  </si>
  <si>
    <t xml:space="preserve">Aménagement de locaux au rez</t>
  </si>
  <si>
    <t xml:space="preserve">3386117</t>
  </si>
  <si>
    <t xml:space="preserve">Rue Gabrielle-Perret-Gentil 4, Case postale, 1211 Genève 14</t>
  </si>
  <si>
    <t xml:space="preserve">http://www.hug-ge.ch</t>
  </si>
  <si>
    <t xml:space="preserve">Chemin des Mines 9, 1202 Genève</t>
  </si>
  <si>
    <t xml:space="preserve">Aménagement de locaux au rez - accès plateforme PMR</t>
  </si>
  <si>
    <t xml:space="preserve">DRINGEND 47.pdf</t>
  </si>
  <si>
    <t xml:space="preserve">PSP Management AG</t>
  </si>
  <si>
    <t xml:space="preserve">Ms Aurélie Berg</t>
  </si>
  <si>
    <t xml:space="preserve">044 625 57 57</t>
  </si>
  <si>
    <t xml:space="preserve">zuerich@psp.info</t>
  </si>
  <si>
    <t xml:space="preserve">Division et aménagement d'un surface</t>
  </si>
  <si>
    <t xml:space="preserve">3385940</t>
  </si>
  <si>
    <t xml:space="preserve">Seestrasse 353, Postfach, 8038 Zürich</t>
  </si>
  <si>
    <t xml:space="preserve">http://www.psp.info</t>
  </si>
  <si>
    <t xml:space="preserve">Rue des Bains 35, 1205 Genève</t>
  </si>
  <si>
    <t xml:space="preserve">Division d'une surface et aménagement d'un surface au gré du preneur au 7ème étage</t>
  </si>
  <si>
    <t xml:space="preserve">Giorgio Bello et Aydan Yurdakul</t>
  </si>
  <si>
    <t xml:space="preserve">Mr Giorgio Bello</t>
  </si>
  <si>
    <t xml:space="preserve">022 738 09 33</t>
  </si>
  <si>
    <t xml:space="preserve">atelier.g.a@bluewin.ch</t>
  </si>
  <si>
    <t xml:space="preserve">Bureau d'architecte, Rue du Môle 42bis, 1201 Genève</t>
  </si>
  <si>
    <t xml:space="preserve">http://www.belloyurdakul.ch</t>
  </si>
  <si>
    <t xml:space="preserve">DRINGEND 48.pdf</t>
  </si>
  <si>
    <t xml:space="preserve">Labcorp Central Laboratory Services Sàrl</t>
  </si>
  <si>
    <t xml:space="preserve">Mr Stefano Fratianni</t>
  </si>
  <si>
    <t xml:space="preserve">058 822 70 00</t>
  </si>
  <si>
    <t xml:space="preserve">patricia.tirvaudey@labcorp.com</t>
  </si>
  <si>
    <t xml:space="preserve">Aménagement d'une unité de stockage</t>
  </si>
  <si>
    <t xml:space="preserve">1217 Meyrin</t>
  </si>
  <si>
    <t xml:space="preserve">3385893</t>
  </si>
  <si>
    <t xml:space="preserve">Rue Moïse-Marcinhes 7, 1217 Meyrin</t>
  </si>
  <si>
    <t xml:space="preserve">http://www.labcorp.com</t>
  </si>
  <si>
    <t xml:space="preserve">Rue Emma-Kammacher 5b, 1217 Meyrin</t>
  </si>
  <si>
    <t xml:space="preserve">Aménagement d'une unité de stockage d'échantillons au 1er étage - raccordement sur installation de climatisation existante</t>
  </si>
  <si>
    <t xml:space="preserve">DSA Daniele Stendardo Architectes Sàrl</t>
  </si>
  <si>
    <t xml:space="preserve">Mr Daniele Stendardo</t>
  </si>
  <si>
    <t xml:space="preserve">022 592 92 40</t>
  </si>
  <si>
    <t xml:space="preserve">Route des Acacias 43, 1227 Les Acacias</t>
  </si>
  <si>
    <t xml:space="preserve">http://www.ds-ar.ch</t>
  </si>
  <si>
    <t xml:space="preserve">DRINGEND 49.pdf</t>
  </si>
  <si>
    <t xml:space="preserve">Société fiduciaire d'Expertise et de Revision SA (SFER)</t>
  </si>
  <si>
    <t xml:space="preserve">Mr Pascal Rivollet</t>
  </si>
  <si>
    <t xml:space="preserve">022 737 89 89</t>
  </si>
  <si>
    <t xml:space="preserve">sfer@fidusfer.ch</t>
  </si>
  <si>
    <t xml:space="preserve">Aménagement de bureaux sur deux étages</t>
  </si>
  <si>
    <t xml:space="preserve">1208 Genève</t>
  </si>
  <si>
    <t xml:space="preserve">3386826</t>
  </si>
  <si>
    <t xml:space="preserve">Rue Agasse 45, 1208 Genève</t>
  </si>
  <si>
    <t xml:space="preserve">http://www.fidusfer.ch</t>
  </si>
  <si>
    <t xml:space="preserve">Chemin de la Petite-Boissière 2, 4, 1208 Genève</t>
  </si>
  <si>
    <t xml:space="preserve">Aménagement de bureaux au rez inférieur et rez supérieur</t>
  </si>
  <si>
    <t xml:space="preserve">Cerutti Architectes SA</t>
  </si>
  <si>
    <t xml:space="preserve">Mr Stéphane Pierre Cerutti</t>
  </si>
  <si>
    <t xml:space="preserve">022 737 07 07</t>
  </si>
  <si>
    <t xml:space="preserve">architectes@cerutti.net</t>
  </si>
  <si>
    <t xml:space="preserve">Chemin du Vieux-Vésenaz 3a, Case postale 139, 1222 Vésenaz</t>
  </si>
  <si>
    <t xml:space="preserve">http://www.cerutti.net</t>
  </si>
  <si>
    <t xml:space="preserve">DRINGEND 50.pdf</t>
  </si>
  <si>
    <t xml:space="preserve">Wincasa AG</t>
  </si>
  <si>
    <t xml:space="preserve">Mr Jörg Engeler</t>
  </si>
  <si>
    <t xml:space="preserve">058 455 77 77</t>
  </si>
  <si>
    <t xml:space="preserve">Aménagement de bureaux au rez-de-chaussée</t>
  </si>
  <si>
    <t xml:space="preserve">3387061</t>
  </si>
  <si>
    <t xml:space="preserve">Albisriederstrasse 253, 8047 Zürich</t>
  </si>
  <si>
    <t xml:space="preserve">Avenue Louis-Aubert 20, 1206 Genève</t>
  </si>
  <si>
    <t xml:space="preserve">Gestion Administration Maîtrise et Management SA</t>
  </si>
  <si>
    <t xml:space="preserve">Mr Ludovic Fleischner</t>
  </si>
  <si>
    <t xml:space="preserve">024 420 22 26</t>
  </si>
  <si>
    <t xml:space="preserve">vaud@gammasa.ch</t>
  </si>
  <si>
    <t xml:space="preserve">Chemin des Maladières 22, 2022 Bevaix</t>
  </si>
  <si>
    <t xml:space="preserve">http://www.gammasa.ch</t>
  </si>
  <si>
    <t xml:space="preserve">DRINGEND 51.pdf</t>
  </si>
  <si>
    <t xml:space="preserve">Argecil SA</t>
  </si>
  <si>
    <t xml:space="preserve">Mr Franco Bondi</t>
  </si>
  <si>
    <t xml:space="preserve">022 707 08 00</t>
  </si>
  <si>
    <t xml:space="preserve">info@argecil.ch</t>
  </si>
  <si>
    <t xml:space="preserve">Transformation rénovation de bureaux au 5ème étage</t>
  </si>
  <si>
    <t xml:space="preserve">1207 Genève</t>
  </si>
  <si>
    <t xml:space="preserve">3387164</t>
  </si>
  <si>
    <t xml:space="preserve">Société de gérance, Avenue de Frontenex 6, 1207 Genève</t>
  </si>
  <si>
    <t xml:space="preserve">http://www.argecil.ch</t>
  </si>
  <si>
    <t xml:space="preserve">Avenue de Frontenex 6, 1207 Genève</t>
  </si>
  <si>
    <t xml:space="preserve">Transformation rénovation de bureaux au 5ème étage - raccordement sur installation de climatisation existante</t>
  </si>
  <si>
    <t xml:space="preserve">Same project as e_DRINGEND 83.pdf (p.1)</t>
  </si>
  <si>
    <t xml:space="preserve">Strausak Associés SA</t>
  </si>
  <si>
    <t xml:space="preserve">Ms Pascale Strausak</t>
  </si>
  <si>
    <t xml:space="preserve">022 343 94 41</t>
  </si>
  <si>
    <t xml:space="preserve">contact@strausak.com</t>
  </si>
  <si>
    <t xml:space="preserve">Rue de Veyrier 7, 1227 Carouge GE</t>
  </si>
  <si>
    <t xml:space="preserve">http://www.strausak.com</t>
  </si>
  <si>
    <t xml:space="preserve">DRINGEND 52.pdf</t>
  </si>
  <si>
    <t xml:space="preserve">Figestor SA</t>
  </si>
  <si>
    <t xml:space="preserve">022 809 97 00</t>
  </si>
  <si>
    <t xml:space="preserve">info@figestor.com</t>
  </si>
  <si>
    <t xml:space="preserve">Aménagement de surfaces administratives</t>
  </si>
  <si>
    <t xml:space="preserve">3387169</t>
  </si>
  <si>
    <t xml:space="preserve">Rue Adrien-Lachenal 26, 1207 Genève</t>
  </si>
  <si>
    <t xml:space="preserve">http://www.figestor.com</t>
  </si>
  <si>
    <t xml:space="preserve">Avenue des Morgines 10, 1213 Petit-Lancy</t>
  </si>
  <si>
    <t xml:space="preserve">Aménagement de surfaces administratives au 1er étage</t>
  </si>
  <si>
    <t xml:space="preserve">DRINGEND 53.pdf</t>
  </si>
  <si>
    <t xml:space="preserve">Commune de Plan-les-Ouates</t>
  </si>
  <si>
    <t xml:space="preserve">022 884 64 00</t>
  </si>
  <si>
    <t xml:space="preserve">mairie@plan-les-ouates.ch</t>
  </si>
  <si>
    <t xml:space="preserve">Rénovation et séparation arcade de bureaux</t>
  </si>
  <si>
    <t xml:space="preserve">1228 Plan-les-Ouates</t>
  </si>
  <si>
    <t xml:space="preserve">3387116</t>
  </si>
  <si>
    <t xml:space="preserve">Route des Chevaliers-de-Malte 3, Case postale 17, 1228 Plan-les-Ouates</t>
  </si>
  <si>
    <t xml:space="preserve">http://www.plan-les-ouates.ch</t>
  </si>
  <si>
    <t xml:space="preserve">Chemin de Vers 8, 1228 Plan-les-Ouates</t>
  </si>
  <si>
    <t xml:space="preserve">Rénovation et séparation d'une arcade de bureaux en deux au rez-de-chaussée</t>
  </si>
  <si>
    <t xml:space="preserve">Naef Immobilier Genève SA</t>
  </si>
  <si>
    <t xml:space="preserve">Ms Anne-Claire Dillard</t>
  </si>
  <si>
    <t xml:space="preserve">geneve@naef.ch</t>
  </si>
  <si>
    <t xml:space="preserve">DRINGEND 54.pdf</t>
  </si>
  <si>
    <t xml:space="preserve">Commune de Confignon</t>
  </si>
  <si>
    <t xml:space="preserve">Ms Anna Moroni</t>
  </si>
  <si>
    <t xml:space="preserve">022 850 93 93</t>
  </si>
  <si>
    <t xml:space="preserve">info@confignon.ch</t>
  </si>
  <si>
    <t xml:space="preserve">Aménagement de locaux pour le parascolaire</t>
  </si>
  <si>
    <t xml:space="preserve">1232 Confignon</t>
  </si>
  <si>
    <t xml:space="preserve">3387455</t>
  </si>
  <si>
    <t xml:space="preserve">Promenade des Rêveries 2, Case postale 18, 1232 Confignon</t>
  </si>
  <si>
    <t xml:space="preserve">http://www.confignon.ch</t>
  </si>
  <si>
    <t xml:space="preserve">Rue Edouard-Vallet 16, 1232 Confignon</t>
  </si>
  <si>
    <t xml:space="preserve">Changement d'affectation - aménagement de locaux pour le parascolaire</t>
  </si>
  <si>
    <t xml:space="preserve">MCBD architectes genève SNC</t>
  </si>
  <si>
    <t xml:space="preserve">Mr Bernard Delacoste</t>
  </si>
  <si>
    <t xml:space="preserve">022 340 31 51</t>
  </si>
  <si>
    <t xml:space="preserve">mcbd@mcbd.ch</t>
  </si>
  <si>
    <t xml:space="preserve">Rue du Beulet 4, 1203 Genève</t>
  </si>
  <si>
    <t xml:space="preserve">http://www.mcbd.ch</t>
  </si>
  <si>
    <t xml:space="preserve">DRINGEND 55.pdf</t>
  </si>
  <si>
    <t xml:space="preserve">Koch Supply &amp; Trading Sàrl</t>
  </si>
  <si>
    <t xml:space="preserve">Mr Louis Albert Fascetti Jr</t>
  </si>
  <si>
    <t xml:space="preserve">022 737 42 00</t>
  </si>
  <si>
    <t xml:space="preserve">Aménagement de bureaux au 4ème étage</t>
  </si>
  <si>
    <t xml:space="preserve">1204 Genève</t>
  </si>
  <si>
    <t xml:space="preserve">3387863</t>
  </si>
  <si>
    <t xml:space="preserve">Chemin de Blandonnet 8, Case postale 1843, 1216 Cointrin</t>
  </si>
  <si>
    <t xml:space="preserve">http://www.ksandt.com</t>
  </si>
  <si>
    <t xml:space="preserve">Rue de la Confédération 6, 1204 Genève</t>
  </si>
  <si>
    <t xml:space="preserve">Aménagement de bureaux au 4ème étage - Raccordement sur installation de climatisation existante</t>
  </si>
  <si>
    <t xml:space="preserve">Mr Chris Miller</t>
  </si>
  <si>
    <t xml:space="preserve">DRINGEND 56.pdf</t>
  </si>
  <si>
    <t xml:space="preserve">Owner &amp; architect</t>
  </si>
  <si>
    <t xml:space="preserve">Etat de Neuchâtel - Département de la gestion du territoire</t>
  </si>
  <si>
    <t xml:space="preserve">Mr Adriano Da Cunha</t>
  </si>
  <si>
    <t xml:space="preserve">032 889 64 80</t>
  </si>
  <si>
    <t xml:space="preserve">service.batiments@ne.ch</t>
  </si>
  <si>
    <t xml:space="preserve">Transformation de l'appartement de fonction</t>
  </si>
  <si>
    <t xml:space="preserve">2034 Peseux</t>
  </si>
  <si>
    <t xml:space="preserve">3385103</t>
  </si>
  <si>
    <t xml:space="preserve">Service des bâtiments (SBAT), Rue de Tivoli 5, CP 1, 2002 Neuchâtel 2</t>
  </si>
  <si>
    <t xml:space="preserve">http://www.ne.ch</t>
  </si>
  <si>
    <t xml:space="preserve">Rue du Lac 3, 2034 Peseux</t>
  </si>
  <si>
    <t xml:space="preserve">Transformation de l'appartement de fonction / changement d'affectation</t>
  </si>
  <si>
    <t xml:space="preserve">DRINGEND 57.pdf</t>
  </si>
  <si>
    <t xml:space="preserve">Collège International de la Châtaigneraie SA</t>
  </si>
  <si>
    <t xml:space="preserve">Mr Laurent Falvert</t>
  </si>
  <si>
    <t xml:space="preserve">022 960 91 11</t>
  </si>
  <si>
    <t xml:space="preserve">reception.chat@ecolint.ch</t>
  </si>
  <si>
    <t xml:space="preserve">Intégration d'une salle de sport</t>
  </si>
  <si>
    <t xml:space="preserve">1297 Founex</t>
  </si>
  <si>
    <t xml:space="preserve">3125851</t>
  </si>
  <si>
    <t xml:space="preserve">Chemin de la Ferme 2, 1297 Founex</t>
  </si>
  <si>
    <t xml:space="preserve">http://www.ecolint.ch</t>
  </si>
  <si>
    <t xml:space="preserve">Intégration d'une salle de sport provisoire pour le Collège Internationale de la Chatâigneraie SA. Façades tente structure aluminium extrudé et toile en tissu polyester enduit PVC. Chauffage au gaz. Modification de projet : Changement d'affectation des locaux. Adaptation des installations sanitaires.</t>
  </si>
  <si>
    <t xml:space="preserve">Sylla Widmann Architectes SA</t>
  </si>
  <si>
    <t xml:space="preserve">Mr Marc Widmann</t>
  </si>
  <si>
    <t xml:space="preserve">022 787 60 00</t>
  </si>
  <si>
    <t xml:space="preserve">info@syllawidmann.ch</t>
  </si>
  <si>
    <t xml:space="preserve">Rue des Maraîchers 8, 1205 Genève</t>
  </si>
  <si>
    <t xml:space="preserve">http://www.syllawidmann.ch</t>
  </si>
  <si>
    <t xml:space="preserve">DRINGEND 58.pdf</t>
  </si>
  <si>
    <t xml:space="preserve">Enshift AG</t>
  </si>
  <si>
    <t xml:space="preserve">Mr Dario Parisi</t>
  </si>
  <si>
    <t xml:space="preserve">041 562 71 59</t>
  </si>
  <si>
    <t xml:space="preserve">hello@enshift.com</t>
  </si>
  <si>
    <t xml:space="preserve">Changement de système de chauffage</t>
  </si>
  <si>
    <t xml:space="preserve">1752 Villars-sur-Glâne</t>
  </si>
  <si>
    <t xml:space="preserve">3389757</t>
  </si>
  <si>
    <t xml:space="preserve">Neuhofstrasse 12, 6340 Baar</t>
  </si>
  <si>
    <t xml:space="preserve">http://www.enshift.com</t>
  </si>
  <si>
    <t xml:space="preserve">Route de Villars 105, 1752 Villars-sur-Glâne</t>
  </si>
  <si>
    <t xml:space="preserve">Le système de chauffage au gaz existant</t>
  </si>
  <si>
    <t xml:space="preserve">3389765</t>
  </si>
  <si>
    <t xml:space="preserve">Route de Villars 110, 1752 Villars-sur-Glâne</t>
  </si>
  <si>
    <t xml:space="preserve">DRINGEND 59.pdf</t>
  </si>
  <si>
    <t xml:space="preserve">Barros Studio Architecture Sàrl</t>
  </si>
  <si>
    <t xml:space="preserve">Mr Carlos Barros</t>
  </si>
  <si>
    <t xml:space="preserve">078 204 23 13</t>
  </si>
  <si>
    <t xml:space="preserve">carlosbarros@basilar.ch</t>
  </si>
  <si>
    <t xml:space="preserve">Changement d'affectation d'un local</t>
  </si>
  <si>
    <t xml:space="preserve">1617 Remaufens</t>
  </si>
  <si>
    <t xml:space="preserve">3389908</t>
  </si>
  <si>
    <t xml:space="preserve">Route d'Ursy 90, 1678 Siviriez</t>
  </si>
  <si>
    <t xml:space="preserve">Chemin du Cornifel 7a, 1617 Remaufens</t>
  </si>
  <si>
    <t xml:space="preserve">Mise en conformité d'aménagements extérieurs avec des places de parc changement d'affectation d'un local au sous-sol en bureau avec création d'un lavabo</t>
  </si>
  <si>
    <t xml:space="preserve">Skyguide swiss air navigation services ltd</t>
  </si>
  <si>
    <t xml:space="preserve">043 931 61 11</t>
  </si>
  <si>
    <t xml:space="preserve">info@skyguide.ch</t>
  </si>
  <si>
    <t xml:space="preserve">Rückbau UKW-Sender der Flugsicherung</t>
  </si>
  <si>
    <t xml:space="preserve">1717 St. Ursen</t>
  </si>
  <si>
    <t xml:space="preserve">3389972</t>
  </si>
  <si>
    <t xml:space="preserve">Flugsicherungsstrasse 1-5, Postfach 23, 8602 Wangen b. Dübendorf</t>
  </si>
  <si>
    <t xml:space="preserve">http://www.skyguide.ch</t>
  </si>
  <si>
    <t xml:space="preserve">Struss 2c, 1717 St. Ursen</t>
  </si>
  <si>
    <t xml:space="preserve">GeoPlaning Tafers AG</t>
  </si>
  <si>
    <t xml:space="preserve">026 494 19 25</t>
  </si>
  <si>
    <t xml:space="preserve">tafers@geoplaning.ch</t>
  </si>
  <si>
    <t xml:space="preserve">Mariahilfstrasse 4b, Postfach 18, 1712 Tafers</t>
  </si>
  <si>
    <t xml:space="preserve">http://www.bkgeoservice.ch</t>
  </si>
  <si>
    <t xml:space="preserve">André Ramseyer AG</t>
  </si>
  <si>
    <t xml:space="preserve">031 744 00 00</t>
  </si>
  <si>
    <t xml:space="preserve">info@ramseyer.ch</t>
  </si>
  <si>
    <t xml:space="preserve">Neubau Betriebsgebäude für Vertrieb</t>
  </si>
  <si>
    <t xml:space="preserve">3175 Flamatt</t>
  </si>
  <si>
    <t xml:space="preserve">3389980</t>
  </si>
  <si>
    <t xml:space="preserve">Industriestrasse 32, 3175 Flamatt</t>
  </si>
  <si>
    <t xml:space="preserve">http://www.ramseyer.ch</t>
  </si>
  <si>
    <t xml:space="preserve">2-geschossiger Neubau mit einer Unterkellerung. Massivbau mit einer vorgehängter Metallverkleidung und einem begrünten Flachdach sowie Sufbau einer PV-Anlage. Heizung: Grundwasser und Wärmeverteilung über Deckenstrahler und Radiatoren. Einbau von Neben- und Personalräumen. Einbau Waren-/Personenlift sowie Einbau von Sektio ..&gt;</t>
  </si>
  <si>
    <t xml:space="preserve">ANS Architekten und Planer SIA AG</t>
  </si>
  <si>
    <t xml:space="preserve">031 838 80 80</t>
  </si>
  <si>
    <t xml:space="preserve">info@ans-architekten.ch</t>
  </si>
  <si>
    <t xml:space="preserve">Hauptstrasse 14, Postfach 672, 3076 Worb</t>
  </si>
  <si>
    <t xml:space="preserve">http://www.ans-architekten.ch</t>
  </si>
  <si>
    <t xml:space="preserve">Etat de Fribourg</t>
  </si>
  <si>
    <t xml:space="preserve">026 305 37 93</t>
  </si>
  <si>
    <t xml:space="preserve">Unterhaltsarbeiten im Südturm / Verwaltungsgebäude</t>
  </si>
  <si>
    <t xml:space="preserve">3280 Murten</t>
  </si>
  <si>
    <t xml:space="preserve">3369115</t>
  </si>
  <si>
    <t xml:space="preserve">Domaine public des Eaux, Route des Daillettes 6, 1700 Fribourg</t>
  </si>
  <si>
    <t xml:space="preserve">Schlossgasse 1a, 3280 Murten</t>
  </si>
  <si>
    <t xml:space="preserve">Unterhaltsarbeiten im Südturm / Verwaltungsgebäude.</t>
  </si>
  <si>
    <t xml:space="preserve">Reolon</t>
  </si>
  <si>
    <t xml:space="preserve">Les Grandseys 29, 1564 Domdidier</t>
  </si>
  <si>
    <t xml:space="preserve">DRINGEND 61.pdf</t>
  </si>
  <si>
    <t xml:space="preserve">Pilet &amp; Renaud SA</t>
  </si>
  <si>
    <t xml:space="preserve">Mr Johan Pierre</t>
  </si>
  <si>
    <t xml:space="preserve">022 322 92 22</t>
  </si>
  <si>
    <t xml:space="preserve">service@pilet-renaud.ch</t>
  </si>
  <si>
    <t xml:space="preserve">Aménagement d'un bureau</t>
  </si>
  <si>
    <t xml:space="preserve">3424287</t>
  </si>
  <si>
    <t xml:space="preserve">Agence immobilière, Boulevard Georges-Favon 2, Case postale, 1211 Genève 11</t>
  </si>
  <si>
    <t xml:space="preserve">http://www.pilet-renaud.ch</t>
  </si>
  <si>
    <t xml:space="preserve">Rue du Stand 40, 1204 Genève</t>
  </si>
  <si>
    <t xml:space="preserve">Aménagement d'un bureau au 3ème étage.</t>
  </si>
  <si>
    <t xml:space="preserve">DRINGEND 62.pdf</t>
  </si>
  <si>
    <t xml:space="preserve">Ascenseurs Menétrey SA</t>
  </si>
  <si>
    <t xml:space="preserve">026 651 90 70</t>
  </si>
  <si>
    <t xml:space="preserve">amr@menetrey-lift.ch</t>
  </si>
  <si>
    <t xml:space="preserve">Transformation de garages en bureaux</t>
  </si>
  <si>
    <t xml:space="preserve">1680 Romont FR</t>
  </si>
  <si>
    <t xml:space="preserve">3402931</t>
  </si>
  <si>
    <t xml:space="preserve">Route de la Condémine 10, Case postale 107, 1680 Romont FR</t>
  </si>
  <si>
    <t xml:space="preserve">http://www.menetrey-lift.ch</t>
  </si>
  <si>
    <t xml:space="preserve">Route de la Condémine 10, 1680 Romont FR</t>
  </si>
  <si>
    <t xml:space="preserve">Mise en conformité pour changement d'affectation. Transformation de garages en bureaux.</t>
  </si>
  <si>
    <t xml:space="preserve">Same project as DRINGEND 63.pdf (p.1)</t>
  </si>
  <si>
    <t xml:space="preserve">Index Architectes Sàrl</t>
  </si>
  <si>
    <t xml:space="preserve">info@index-ar.ch</t>
  </si>
  <si>
    <t xml:space="preserve">Rue de l'Eglise 74, 1680 Romont FR</t>
  </si>
  <si>
    <t xml:space="preserve">http://www.index-ar.ch</t>
  </si>
  <si>
    <t xml:space="preserve">DRINGEND 63.pdf</t>
  </si>
  <si>
    <t xml:space="preserve">Same project as DRINGEND 62.pdf (p.1)</t>
  </si>
  <si>
    <t xml:space="preserve">DRINGEND 64.pdf</t>
  </si>
  <si>
    <t xml:space="preserve">Bard</t>
  </si>
  <si>
    <t xml:space="preserve">026 652 36 72</t>
  </si>
  <si>
    <t xml:space="preserve">daniel.bard@bluewin.ch</t>
  </si>
  <si>
    <t xml:space="preserve">Agrandissement du bâtiment d'exploitation</t>
  </si>
  <si>
    <t xml:space="preserve">1667 Enney</t>
  </si>
  <si>
    <t xml:space="preserve">3406884</t>
  </si>
  <si>
    <t xml:space="preserve">Daniel, Chemin du Vugy 13, 1684 Mézières FR</t>
  </si>
  <si>
    <t xml:space="preserve">Route de la Léchyre 8a, 1667 Enney</t>
  </si>
  <si>
    <t xml:space="preserve">Agriculture and forestry</t>
  </si>
  <si>
    <t xml:space="preserve">DRINGEND 65.pdf</t>
  </si>
  <si>
    <t xml:space="preserve">Institut Agricole de l'Etat de Fribourg</t>
  </si>
  <si>
    <t xml:space="preserve">026 305 55 00</t>
  </si>
  <si>
    <t xml:space="preserve">Transformation du rez</t>
  </si>
  <si>
    <t xml:space="preserve">1725 Posieux</t>
  </si>
  <si>
    <t xml:space="preserve">3409664</t>
  </si>
  <si>
    <t xml:space="preserve">Direction centrale et administration, Route de Grangeneuve 31, 1725 Posieux</t>
  </si>
  <si>
    <t xml:space="preserve">http://www.grangeneuve.ch</t>
  </si>
  <si>
    <t xml:space="preserve">Route de Grangeneuve 29, 1725 Posieux</t>
  </si>
  <si>
    <t xml:space="preserve">Le projet prévoit la transformation du rez-de-chaussée du bâtiment S, incluant un changement d'affectation des locaux. Les espaces actuellement utilisés comme foyers seront réaménagés et destinés à un usage administratif (bureaux).</t>
  </si>
  <si>
    <t xml:space="preserve">Module SA Architectures</t>
  </si>
  <si>
    <t xml:space="preserve">026 652 91 91</t>
  </si>
  <si>
    <t xml:space="preserve">admin@modulesa.ch</t>
  </si>
  <si>
    <t xml:space="preserve">Avenue Gérard-Clerc 2, 1680 Romont FR</t>
  </si>
  <si>
    <t xml:space="preserve">http://www.modulesa.ch</t>
  </si>
  <si>
    <t xml:space="preserve">DRINGEND 66.pdf</t>
  </si>
  <si>
    <t xml:space="preserve">Boxéal SA</t>
  </si>
  <si>
    <t xml:space="preserve">Construction de 33 box</t>
  </si>
  <si>
    <t xml:space="preserve">1684 Mézières FR</t>
  </si>
  <si>
    <t xml:space="preserve">3409812</t>
  </si>
  <si>
    <t xml:space="preserve">c/o YADES Immobilier SA, Avenue des Découvertes 3, 1400 Yverdon-les-Bains</t>
  </si>
  <si>
    <t xml:space="preserve">Chemin de la Parqueterie, 1684 Mézières FR</t>
  </si>
  <si>
    <t xml:space="preserve">Construction de 33 box pour affectation: stockage, halles artisanales et/ou bureaux.</t>
  </si>
  <si>
    <t xml:space="preserve">od architecture Sàrl</t>
  </si>
  <si>
    <t xml:space="preserve">078 240 99 47</t>
  </si>
  <si>
    <t xml:space="preserve">info@od-archi.ch</t>
  </si>
  <si>
    <t xml:space="preserve">Rue Centrale 16, 1964 Conthey</t>
  </si>
  <si>
    <t xml:space="preserve">http://www.od-archi.ch</t>
  </si>
  <si>
    <t xml:space="preserve">DRINGEND 67.pdf</t>
  </si>
  <si>
    <t xml:space="preserve">Ville de Fribourg - Direction de l'édilité</t>
  </si>
  <si>
    <t xml:space="preserve">Ms Lucienne Mauron</t>
  </si>
  <si>
    <t xml:space="preserve">026 351 75 04</t>
  </si>
  <si>
    <t xml:space="preserve">genie.civil@ville-fr.ch</t>
  </si>
  <si>
    <t xml:space="preserve">Transformations intérieures</t>
  </si>
  <si>
    <t xml:space="preserve">1700 Fribourg</t>
  </si>
  <si>
    <t xml:space="preserve">3409599</t>
  </si>
  <si>
    <t xml:space="preserve">Service Urbanisme et Architecture, Rue Joseph-Piller 7, 1700 Fribourg</t>
  </si>
  <si>
    <t xml:space="preserve">http://www.ville-fribourg.ch</t>
  </si>
  <si>
    <t xml:space="preserve">Route des Neigles 50, 1700 Fribourg</t>
  </si>
  <si>
    <t xml:space="preserve">Transformations intérieures et implantation de containers pour bureaux. Pas plus d'info</t>
  </si>
  <si>
    <t xml:space="preserve">DRINGEND 68.pdf</t>
  </si>
  <si>
    <t xml:space="preserve">Paroisse Notre-Dame du Belmont</t>
  </si>
  <si>
    <t xml:space="preserve">026 675 12 54</t>
  </si>
  <si>
    <t xml:space="preserve">Projet d'aménagement d'un bureau</t>
  </si>
  <si>
    <t xml:space="preserve">1564 Domdidier</t>
  </si>
  <si>
    <t xml:space="preserve">3416612</t>
  </si>
  <si>
    <t xml:space="preserve">Route des Grandseys 1, 1564 Domdidier</t>
  </si>
  <si>
    <t xml:space="preserve">Aménagement d'un bureau pour le secrétariat au sous-sol. Sans appel d'offres.</t>
  </si>
  <si>
    <t xml:space="preserve">Médard Borgognon et François Currat</t>
  </si>
  <si>
    <t xml:space="preserve">borgognon.architecture@gmail.com</t>
  </si>
  <si>
    <t xml:space="preserve">Bureau d'Architecte, Vy-d'Avenches 9, 1564 Domdidier</t>
  </si>
  <si>
    <t xml:space="preserve">DRINGEND 69.pdf</t>
  </si>
  <si>
    <t xml:space="preserve">Etat de Fribourg - DAEC</t>
  </si>
  <si>
    <t xml:space="preserve">026 305 37 84</t>
  </si>
  <si>
    <t xml:space="preserve">sbat@fr.ch</t>
  </si>
  <si>
    <t xml:space="preserve">Aménagement de l'accueil et des bureaux</t>
  </si>
  <si>
    <t xml:space="preserve">3415179</t>
  </si>
  <si>
    <t xml:space="preserve">Service des bâtiments (SBAT), Route des Daillettes 6, Case postale, 1701 Fribourg</t>
  </si>
  <si>
    <t xml:space="preserve">http://www.fr.ch/sbat</t>
  </si>
  <si>
    <t xml:space="preserve">Boulevard de Pérolles 80, 1700 Fribourg</t>
  </si>
  <si>
    <t xml:space="preserve">Aménagement de l'accueil et des bureaux du services technique au rez-de-chaussée, transformation de la réception et de la direction au deuxième étage.</t>
  </si>
  <si>
    <t xml:space="preserve">Maeder Stooss Architekten GmbH</t>
  </si>
  <si>
    <t xml:space="preserve">031 381 12 57</t>
  </si>
  <si>
    <t xml:space="preserve">buero@maeder-stooss.ch</t>
  </si>
  <si>
    <t xml:space="preserve">Paganaweg 4, 3280 Murten</t>
  </si>
  <si>
    <t xml:space="preserve">http://www.maeder-stooss.ch</t>
  </si>
  <si>
    <t xml:space="preserve">DRINGEND 70.pdf</t>
  </si>
  <si>
    <t xml:space="preserve">CTMS Immobilier SA</t>
  </si>
  <si>
    <t xml:space="preserve">Mr Stépahne Dougoud</t>
  </si>
  <si>
    <t xml:space="preserve">Construction d'une halle de charpente</t>
  </si>
  <si>
    <t xml:space="preserve">3416413</t>
  </si>
  <si>
    <t xml:space="preserve">Route de la Poya 34, 1665 Estavannens</t>
  </si>
  <si>
    <t xml:space="preserve">Rue des Artisans 12, 1667 Enney</t>
  </si>
  <si>
    <t xml:space="preserve">Démolition de la scierie. Construction d'une halle de charpente avec bureaux et couvert de stockage indépendant, PAC air-eau.</t>
  </si>
  <si>
    <t xml:space="preserve">Tinguely Architectes Sàrl</t>
  </si>
  <si>
    <t xml:space="preserve">026 565 38 78</t>
  </si>
  <si>
    <t xml:space="preserve">contact@tinguely-architectes.ch</t>
  </si>
  <si>
    <t xml:space="preserve">Rue de la Lécheretta 6, 1630 Bulle</t>
  </si>
  <si>
    <t xml:space="preserve">http://www.tinguely-architectes.ch</t>
  </si>
  <si>
    <t xml:space="preserve">DRINGEND 71.pdf</t>
  </si>
  <si>
    <t xml:space="preserve">Cronos Finance SA</t>
  </si>
  <si>
    <t xml:space="preserve">Mr Florian Dégago</t>
  </si>
  <si>
    <t xml:space="preserve">021 331 28 00</t>
  </si>
  <si>
    <t xml:space="preserve">gestion@cronosfinance.ch</t>
  </si>
  <si>
    <t xml:space="preserve">Aménagement intérieur de locaux de locations</t>
  </si>
  <si>
    <t xml:space="preserve">3378298</t>
  </si>
  <si>
    <t xml:space="preserve">Chemin de la Damataire 28, 1009 Pully</t>
  </si>
  <si>
    <t xml:space="preserve">http://www.cronosfinance.ch</t>
  </si>
  <si>
    <t xml:space="preserve">Route du Jura 49, 1700 Fribourg</t>
  </si>
  <si>
    <t xml:space="preserve">Social care and health</t>
  </si>
  <si>
    <t xml:space="preserve">Aménagement intérieur de locaux de locations (cabinet de physiothérapie et activité administrative), (périmètre ISOS 23). Sans appel d'offres.</t>
  </si>
  <si>
    <t xml:space="preserve">BBA Archipole SA</t>
  </si>
  <si>
    <t xml:space="preserve">Mr Fabrice Mahon</t>
  </si>
  <si>
    <t xml:space="preserve">026 424 88 55</t>
  </si>
  <si>
    <t xml:space="preserve">info@bba-archipole.ch</t>
  </si>
  <si>
    <t xml:space="preserve">http://www.bba-archipole.ch</t>
  </si>
  <si>
    <t xml:space="preserve">DRINGEND 130.pdf</t>
  </si>
  <si>
    <t xml:space="preserve">Citibank (Switzerland) AG</t>
  </si>
  <si>
    <t xml:space="preserve">Mr Kornel Csallo</t>
  </si>
  <si>
    <t xml:space="preserve">058 750 50 00</t>
  </si>
  <si>
    <t xml:space="preserve">info@citigroup.com</t>
  </si>
  <si>
    <t xml:space="preserve">Réaménagement des bureaux sur quatre étages</t>
  </si>
  <si>
    <t xml:space="preserve">3361334</t>
  </si>
  <si>
    <t xml:space="preserve">Hardstrasse 201, Postfach 3760, 8005 Zürich</t>
  </si>
  <si>
    <t xml:space="preserve">http://www.citigroup.com</t>
  </si>
  <si>
    <t xml:space="preserve">Rue de l'Arquebuse 1, 1204 Genève</t>
  </si>
  <si>
    <t xml:space="preserve">Réaménagement des bureaux Etages concernées: Rez, 1er, 2ème et 3ème</t>
  </si>
  <si>
    <t xml:space="preserve">Mint Architecture AG</t>
  </si>
  <si>
    <t xml:space="preserve">Mr Peter Roth</t>
  </si>
  <si>
    <t xml:space="preserve">Förrlibuckstrasse 150, 8005 Zürich</t>
  </si>
  <si>
    <t xml:space="preserve">http://www.mint-architecture.ch</t>
  </si>
  <si>
    <t xml:space="preserve">DRINGEND 510.pdf</t>
  </si>
  <si>
    <t xml:space="preserve">CIEPP Caisse inter-entreprises de prévoyance professionnelle</t>
  </si>
  <si>
    <t xml:space="preserve">058 715 31 11</t>
  </si>
  <si>
    <t xml:space="preserve">ciepp@fer-ge.ch</t>
  </si>
  <si>
    <t xml:space="preserve">Aménagement d'une surface administrative</t>
  </si>
  <si>
    <t xml:space="preserve">3424923</t>
  </si>
  <si>
    <t xml:space="preserve">Rue de Saint-Jean 67, Case postale, 1211 Genève 3</t>
  </si>
  <si>
    <t xml:space="preserve">http://www.ciepp.ch</t>
  </si>
  <si>
    <t xml:space="preserve">Chemin du Champ-des-Filles 4a, 1228 Plan-les-Ouates</t>
  </si>
  <si>
    <t xml:space="preserve">Aménagement d'une surface administrative au 4ème étage.</t>
  </si>
  <si>
    <t xml:space="preserve">Crea'Projets SA</t>
  </si>
  <si>
    <t xml:space="preserve">Mr Stephane Esposito</t>
  </si>
  <si>
    <t xml:space="preserve">022 794 37 82</t>
  </si>
  <si>
    <t xml:space="preserve">s.esposito@creaprojets.ch</t>
  </si>
  <si>
    <t xml:space="preserve">Chemin du Pont-du-Centenaire 140, 1228 Plan-les-Ouates</t>
  </si>
  <si>
    <t xml:space="preserve">http://www.creaprojets.ch</t>
  </si>
  <si>
    <t xml:space="preserve">DRINGEND 511.pdf</t>
  </si>
  <si>
    <t xml:space="preserve">Swiss Life SA</t>
  </si>
  <si>
    <t xml:space="preserve">022 908 38 50</t>
  </si>
  <si>
    <t xml:space="preserve">ag.geneve-rive-droite@swisslife.ch</t>
  </si>
  <si>
    <t xml:space="preserve">Aménagement de bureaux</t>
  </si>
  <si>
    <t xml:space="preserve">1214 Vernier</t>
  </si>
  <si>
    <t xml:space="preserve">3421721</t>
  </si>
  <si>
    <t xml:space="preserve">Route de Pré-Bois 20, 1215 Genève</t>
  </si>
  <si>
    <t xml:space="preserve">http://www.swisslife.ch</t>
  </si>
  <si>
    <t xml:space="preserve">Chemin de Blandonnet 8, 1214 Vernier</t>
  </si>
  <si>
    <t xml:space="preserve">Aménagement de bureaux au 2ème étage.</t>
  </si>
  <si>
    <t xml:space="preserve">DRINGEND 610.pdf</t>
  </si>
  <si>
    <t xml:space="preserve">VetSpecialistes SA</t>
  </si>
  <si>
    <t xml:space="preserve">Mr Luc Borer</t>
  </si>
  <si>
    <t xml:space="preserve">022 708 11 33</t>
  </si>
  <si>
    <t xml:space="preserve">info@vetspecialistes.ch</t>
  </si>
  <si>
    <t xml:space="preserve">Transformation de deux bureaux</t>
  </si>
  <si>
    <t xml:space="preserve">1218 Le Grand-Saconnex</t>
  </si>
  <si>
    <t xml:space="preserve">3420827</t>
  </si>
  <si>
    <t xml:space="preserve">Route de Ferney 194b, 1218 Le Grand-Saconnex</t>
  </si>
  <si>
    <t xml:space="preserve">http://www.vetspecialistes.ch</t>
  </si>
  <si>
    <t xml:space="preserve">Transformation de deux bureaux au 1er étage d'un cabinet vétérinaire.</t>
  </si>
  <si>
    <t xml:space="preserve">Collectif Architecture Sarl</t>
  </si>
  <si>
    <t xml:space="preserve">Mr Kevin Chung</t>
  </si>
  <si>
    <t xml:space="preserve">022 556 13 34</t>
  </si>
  <si>
    <t xml:space="preserve">contact@c-architecture.ch</t>
  </si>
  <si>
    <t xml:space="preserve">Route des Jeunes 4bis, 1227 Les Acacias</t>
  </si>
  <si>
    <t xml:space="preserve">http://www.c-architecture.ch</t>
  </si>
  <si>
    <t xml:space="preserve">DRINGEND 710.pdf</t>
  </si>
  <si>
    <t xml:space="preserve">Mr Jean-Pierre Duport</t>
  </si>
  <si>
    <t xml:space="preserve">Transformation de deux salles de réunion</t>
  </si>
  <si>
    <t xml:space="preserve">3423883</t>
  </si>
  <si>
    <t xml:space="preserve">Rue de l'Hôtel-de-Ville 14, 1204 Genève</t>
  </si>
  <si>
    <t xml:space="preserve">Transformation de deux salles de réunion au rez-de-chaussée.</t>
  </si>
  <si>
    <t xml:space="preserve">Ganz Muller Architectes SA</t>
  </si>
  <si>
    <t xml:space="preserve">Mr Antoine Muller</t>
  </si>
  <si>
    <t xml:space="preserve">022 786 32 00</t>
  </si>
  <si>
    <t xml:space="preserve">info@ganzmuller.ch</t>
  </si>
  <si>
    <t xml:space="preserve">Place de Jargonnant 5, 1207 Genève</t>
  </si>
  <si>
    <t xml:space="preserve">http://www.ganzmuller.ch</t>
  </si>
  <si>
    <t xml:space="preserve">DRINGEND 711.pdf</t>
  </si>
  <si>
    <t xml:space="preserve">Holman Fenwick Willan Switzerland LLP, Londres, Geneva Branch</t>
  </si>
  <si>
    <t xml:space="preserve">Mr Michael Buisset</t>
  </si>
  <si>
    <t xml:space="preserve">Aménagement de bureaux sur un étage</t>
  </si>
  <si>
    <t xml:space="preserve">3420471</t>
  </si>
  <si>
    <t xml:space="preserve">Cours de Rive 13-15, 1204 Genève</t>
  </si>
  <si>
    <t xml:space="preserve">Place de Hollande 2, 1204 Genève</t>
  </si>
  <si>
    <t xml:space="preserve">Aménagement de bureaux au 6ème étage - raccordement à une installation de climatisation de confort.</t>
  </si>
  <si>
    <t xml:space="preserve">Beric SA</t>
  </si>
  <si>
    <t xml:space="preserve">Mr David Perzoff</t>
  </si>
  <si>
    <t xml:space="preserve">022 827 18 28</t>
  </si>
  <si>
    <t xml:space="preserve">info@beric.ch</t>
  </si>
  <si>
    <t xml:space="preserve">Rue des Voisins 17, Case postale 140, 1211 Genève 4</t>
  </si>
  <si>
    <t xml:space="preserve">http://www.beric.ch</t>
  </si>
  <si>
    <t xml:space="preserve">DRINGEND 712 .pdf</t>
  </si>
  <si>
    <t xml:space="preserve">BCF Sicav en liquidation</t>
  </si>
  <si>
    <t xml:space="preserve">Aménagement de surface commerciale</t>
  </si>
  <si>
    <t xml:space="preserve">1723 Marly</t>
  </si>
  <si>
    <t xml:space="preserve">3426055</t>
  </si>
  <si>
    <t xml:space="preserve">c/o BCF, Boulevard de Pérolles 1, 1700 Fribourg</t>
  </si>
  <si>
    <t xml:space="preserve">Ancienne-Papeterie 4, 1723 Marly</t>
  </si>
  <si>
    <t xml:space="preserve">Aménagement d'une surface commerciale : agence de la Banque cantonale fribourgeoise. Création d'une zone d'accueil, de vestiaires, d'un local électrique, d'un espace de rangement pour les chaises, d'une cafétéria et d'un auditorium de 49 places.</t>
  </si>
  <si>
    <t xml:space="preserve">Civil engineer</t>
  </si>
  <si>
    <t xml:space="preserve">CCHE Lausanne SA</t>
  </si>
  <si>
    <t xml:space="preserve">021 321 44 66</t>
  </si>
  <si>
    <t xml:space="preserve">lausanne@cche.ch</t>
  </si>
  <si>
    <t xml:space="preserve">Rue du Grand-Pré 2b, Case postale 320, 1000 Lausanne 16</t>
  </si>
  <si>
    <t xml:space="preserve">http://www.cche.ch</t>
  </si>
  <si>
    <t xml:space="preserve">DRINGEND 713.pdf</t>
  </si>
  <si>
    <t xml:space="preserve">spg partner Geneva sa</t>
  </si>
  <si>
    <t xml:space="preserve">Mr Gregory Grobon</t>
  </si>
  <si>
    <t xml:space="preserve">022 707 46 00</t>
  </si>
  <si>
    <t xml:space="preserve">geneva@spgpartner.ch</t>
  </si>
  <si>
    <t xml:space="preserve">3425155</t>
  </si>
  <si>
    <t xml:space="preserve">Rue Ferdinand-Hodler 23, 1207 Genève</t>
  </si>
  <si>
    <t xml:space="preserve">http://www.spgpartner.ch</t>
  </si>
  <si>
    <t xml:space="preserve">Rue du Rhône 100, 1204 Genève</t>
  </si>
  <si>
    <t xml:space="preserve">Aménagement de bureaux au 8ème étage.</t>
  </si>
  <si>
    <t xml:space="preserve">FFARCH SA</t>
  </si>
  <si>
    <t xml:space="preserve">Mr François Cottier</t>
  </si>
  <si>
    <t xml:space="preserve">info@ffarch.ch</t>
  </si>
  <si>
    <t xml:space="preserve">Chemin de la Fontaine 6, 1224 Chêne-Bougeries</t>
  </si>
  <si>
    <t xml:space="preserve">http://www.ffarch.ch</t>
  </si>
  <si>
    <t xml:space="preserve">DRINGEND 714.pdf</t>
  </si>
  <si>
    <t xml:space="preserve">Ville de Genève - Départ. aménagement, constr. et mobilité</t>
  </si>
  <si>
    <t xml:space="preserve">Mr Marc Sauthier</t>
  </si>
  <si>
    <t xml:space="preserve">022 418 21 50</t>
  </si>
  <si>
    <t xml:space="preserve">patrimoine-bati.dpba@ville-ge.ch</t>
  </si>
  <si>
    <t xml:space="preserve">Transformations de surfaces administratives</t>
  </si>
  <si>
    <t xml:space="preserve">3425216</t>
  </si>
  <si>
    <t xml:space="preserve">Direction du Patrimoine Bâti (DPBA), Rue du Stand 25, Case postale 3983, 1204 Genève</t>
  </si>
  <si>
    <t xml:space="preserve">http://www.ville-geneve.ch</t>
  </si>
  <si>
    <t xml:space="preserve">Rue du Stand 3, 1204 Genève</t>
  </si>
  <si>
    <t xml:space="preserve">Transformations de surfaces administratives au 2eme et 3ème étage.</t>
  </si>
  <si>
    <t xml:space="preserve">DRINGEND 715.pdf</t>
  </si>
  <si>
    <t xml:space="preserve">Campus Genevois de Haute Horlogerie, Branch of Richemont International SA</t>
  </si>
  <si>
    <t xml:space="preserve">Mr Vincent Dick</t>
  </si>
  <si>
    <t xml:space="preserve">022 808 20 00</t>
  </si>
  <si>
    <t xml:space="preserve">3425157</t>
  </si>
  <si>
    <t xml:space="preserve">Rue André-De-Garrini 7, 1217 Meyrin</t>
  </si>
  <si>
    <t xml:space="preserve">http://www.richemont.com</t>
  </si>
  <si>
    <t xml:space="preserve">Transformation et rénovation de bureaux au 1er étage.</t>
  </si>
  <si>
    <t xml:space="preserve">de Planta Associés Architectes SA</t>
  </si>
  <si>
    <t xml:space="preserve">Mr Johann Leresche</t>
  </si>
  <si>
    <t xml:space="preserve">022 702 10 77</t>
  </si>
  <si>
    <t xml:space="preserve">architectes@deplanta-architectes.ch</t>
  </si>
  <si>
    <t xml:space="preserve">Rue Blavignac 10, 1227 Carouge GE</t>
  </si>
  <si>
    <t xml:space="preserve">http://www.planta-portier.ch</t>
  </si>
  <si>
    <t xml:space="preserve">e_DRINGEND1.pdf</t>
  </si>
  <si>
    <t xml:space="preserve">Anticimex SA</t>
  </si>
  <si>
    <t xml:space="preserve">022 516 00 25</t>
  </si>
  <si>
    <t xml:space="preserve">3420457</t>
  </si>
  <si>
    <t xml:space="preserve">Route de Meyrin 267, 1217 Meyrin</t>
  </si>
  <si>
    <t xml:space="preserve">http://www.anticimex.ch</t>
  </si>
  <si>
    <t xml:space="preserve">Chemin Louis-Hubert 1, 1213 Petit-Lancy</t>
  </si>
  <si>
    <t xml:space="preserve">Aménagement d'une surface administrative au 2ème étage.</t>
  </si>
  <si>
    <t xml:space="preserve">Architech SA</t>
  </si>
  <si>
    <t xml:space="preserve">Mr Julio Lopez</t>
  </si>
  <si>
    <t xml:space="preserve">022 730 10 80</t>
  </si>
  <si>
    <t xml:space="preserve">secretariat@architech.ch</t>
  </si>
  <si>
    <t xml:space="preserve">Chemin du Château-Bloch 11, 1219 Le Lignon</t>
  </si>
  <si>
    <t xml:space="preserve">http://www.architech.ch</t>
  </si>
  <si>
    <t xml:space="preserve">e_DRINGEND2.pdf</t>
  </si>
  <si>
    <t xml:space="preserve">Okyo Sàrl</t>
  </si>
  <si>
    <t xml:space="preserve">021 964 80 00</t>
  </si>
  <si>
    <t xml:space="preserve">anton.alimi@gmail.com</t>
  </si>
  <si>
    <t xml:space="preserve">Aménagement intérieur de bureaux</t>
  </si>
  <si>
    <t xml:space="preserve">1618 Châtel-St-Denis</t>
  </si>
  <si>
    <t xml:space="preserve">3420052</t>
  </si>
  <si>
    <t xml:space="preserve">Rue de la Basse-Ville 35, 1616 Attalens</t>
  </si>
  <si>
    <t xml:space="preserve">Route de Palézieux 121, 1618 Châtel-St-Denis</t>
  </si>
  <si>
    <t xml:space="preserve">Aménagement intérieur de bureaux.</t>
  </si>
  <si>
    <t xml:space="preserve">e_DRINGEND 1 (2).pdf</t>
  </si>
  <si>
    <t xml:space="preserve">Transports Publics Neuchâtelois SA (TransN)</t>
  </si>
  <si>
    <t xml:space="preserve">032 924 24 24</t>
  </si>
  <si>
    <t xml:space="preserve">info@transn.ch</t>
  </si>
  <si>
    <t xml:space="preserve">Déconstruction d'un hangar</t>
  </si>
  <si>
    <t xml:space="preserve">2000 Neuchâtel</t>
  </si>
  <si>
    <t xml:space="preserve">3293398</t>
  </si>
  <si>
    <t xml:space="preserve">Allée des Défricheurs 3, Case postale 1429, 2301 La Chaux-de-Fonds</t>
  </si>
  <si>
    <t xml:space="preserve">http://www.transn.ch</t>
  </si>
  <si>
    <t xml:space="preserve">Quai Jeanrenaud, 2000 Neuchâtel</t>
  </si>
  <si>
    <t xml:space="preserve">Déconstruction d'un hangar, pose de 15 containers répartis sur 3 niveaux pour bureaux et entreposage</t>
  </si>
  <si>
    <t xml:space="preserve">Edilplan SA</t>
  </si>
  <si>
    <t xml:space="preserve">Mr Fabiano Bellei</t>
  </si>
  <si>
    <t xml:space="preserve">032 731 00 88</t>
  </si>
  <si>
    <t xml:space="preserve">info@edilplan.ch</t>
  </si>
  <si>
    <t xml:space="preserve">Rue de Neuchâtel 8, 2034 Peseux</t>
  </si>
  <si>
    <t xml:space="preserve">http://www.edilplan.ch</t>
  </si>
  <si>
    <t xml:space="preserve">e_DRINGEND 8.pdf</t>
  </si>
  <si>
    <t xml:space="preserve">Administration communale</t>
  </si>
  <si>
    <t xml:space="preserve">Ms Eliane Piguet</t>
  </si>
  <si>
    <t xml:space="preserve">024 459 18 12</t>
  </si>
  <si>
    <t xml:space="preserve">greffe@mathod.ch</t>
  </si>
  <si>
    <t xml:space="preserve">Aménagement d'une salle de réunion</t>
  </si>
  <si>
    <t xml:space="preserve">1438 Mathod</t>
  </si>
  <si>
    <t xml:space="preserve">3334995</t>
  </si>
  <si>
    <t xml:space="preserve">Rue de la Forge 22, Case postale 52, 1438 Mathod</t>
  </si>
  <si>
    <t xml:space="preserve">http://www.mathod.ch</t>
  </si>
  <si>
    <t xml:space="preserve">Rue de la Forge 22, 1438 Mathod</t>
  </si>
  <si>
    <t xml:space="preserve">Aménagement d'une salle de réunion dans les combles.</t>
  </si>
  <si>
    <t xml:space="preserve">Arch-E Sàrl</t>
  </si>
  <si>
    <t xml:space="preserve">Mr David Glauser</t>
  </si>
  <si>
    <t xml:space="preserve">024 445 47 50</t>
  </si>
  <si>
    <t xml:space="preserve">info@arche.swiss</t>
  </si>
  <si>
    <t xml:space="preserve">http://www.arch-e-sarl.ch</t>
  </si>
  <si>
    <t xml:space="preserve">e_DRINGEND 9.pdf</t>
  </si>
  <si>
    <t xml:space="preserve">Etat du Valais, Service Immobilier et Patrimoine (SIP)</t>
  </si>
  <si>
    <t xml:space="preserve">027 606 38 00</t>
  </si>
  <si>
    <t xml:space="preserve">sip-secretariat@admin.vs.ch</t>
  </si>
  <si>
    <t xml:space="preserve">Construction de locaux provisoires</t>
  </si>
  <si>
    <t xml:space="preserve">3979 Grône</t>
  </si>
  <si>
    <t xml:space="preserve">3390830</t>
  </si>
  <si>
    <t xml:space="preserve">Avenue du Midi 18, Case postale 670, 1950 Sion</t>
  </si>
  <si>
    <t xml:space="preserve">http://www.vs.ch</t>
  </si>
  <si>
    <t xml:space="preserve">Les Etreys, 3979 Grône</t>
  </si>
  <si>
    <t xml:space="preserve">Constructions - Bâtiment pour l'enseignement et la recherche. Rez-de-chaussée, étages et couverture: métallique.</t>
  </si>
  <si>
    <t xml:space="preserve">Guyaz Méry Sàrl</t>
  </si>
  <si>
    <t xml:space="preserve">Mr Xavier Guyaz</t>
  </si>
  <si>
    <t xml:space="preserve">027 323 43 20</t>
  </si>
  <si>
    <t xml:space="preserve">sion@mbing.ch</t>
  </si>
  <si>
    <t xml:space="preserve">Ruelle du Guêt 1, 1950 Sion</t>
  </si>
  <si>
    <t xml:space="preserve">http://www.mbing.ch</t>
  </si>
  <si>
    <t xml:space="preserve">e_DRINGEND 72.pdf</t>
  </si>
  <si>
    <t xml:space="preserve">Edouard Brun et Cie SA</t>
  </si>
  <si>
    <t xml:space="preserve">Mr Laurent Franco</t>
  </si>
  <si>
    <t xml:space="preserve">022 718 19 60</t>
  </si>
  <si>
    <t xml:space="preserve">admin@regiebrun.ch</t>
  </si>
  <si>
    <t xml:space="preserve">Transformation d'une surface administrative</t>
  </si>
  <si>
    <t xml:space="preserve">1203 Genève</t>
  </si>
  <si>
    <t xml:space="preserve">3417830</t>
  </si>
  <si>
    <t xml:space="preserve">Agence immobilière, Rue Sillem 6, Case postale, 1211 Genève 6</t>
  </si>
  <si>
    <t xml:space="preserve">http://www.regiebrun.ch</t>
  </si>
  <si>
    <t xml:space="preserve">Rue de Lyon 97, 1203 Genève</t>
  </si>
  <si>
    <t xml:space="preserve">Transformation et réaménagement d'une surface administrative au 3ème étage.</t>
  </si>
  <si>
    <t xml:space="preserve">2DLC Architectes Partenaires SA</t>
  </si>
  <si>
    <t xml:space="preserve">Mr Stéphane Lorenzini</t>
  </si>
  <si>
    <t xml:space="preserve">022 743 28 83</t>
  </si>
  <si>
    <t xml:space="preserve">info@2dlc.net</t>
  </si>
  <si>
    <t xml:space="preserve">Chemin de la Caroline 21, 1213 Petit-Lancy</t>
  </si>
  <si>
    <t xml:space="preserve">http://www.2dlc.net</t>
  </si>
  <si>
    <t xml:space="preserve">e_DRINGEND 73.pdf</t>
  </si>
  <si>
    <t xml:space="preserve">Alpine Fleet</t>
  </si>
  <si>
    <t xml:space="preserve">Mr Simon Carrelli</t>
  </si>
  <si>
    <t xml:space="preserve">022 306 60 10</t>
  </si>
  <si>
    <t xml:space="preserve">Aménagement intérieur et transformation de bureaux</t>
  </si>
  <si>
    <t xml:space="preserve">1215 Genève</t>
  </si>
  <si>
    <t xml:space="preserve">3413945</t>
  </si>
  <si>
    <t xml:space="preserve">Rue du Nant 8, 1207 Genève</t>
  </si>
  <si>
    <t xml:space="preserve">http://www.alpinefleet.com</t>
  </si>
  <si>
    <t xml:space="preserve">Route de Pré-Bois 17, 1215 Genève</t>
  </si>
  <si>
    <t xml:space="preserve">Aménagement intérieur et transformation de bureaux au 5ème étage.</t>
  </si>
  <si>
    <t xml:space="preserve">BARNES Commercial Realty SA</t>
  </si>
  <si>
    <t xml:space="preserve">Mr Harold Ducrest</t>
  </si>
  <si>
    <t xml:space="preserve">022 979 34 00</t>
  </si>
  <si>
    <t xml:space="preserve">infoge@barnes-commercial.com</t>
  </si>
  <si>
    <t xml:space="preserve">Avenue de l'Etang 57, Casee Postale, 1211 Genève 8</t>
  </si>
  <si>
    <t xml:space="preserve">http://www.barnes-commercial.com</t>
  </si>
  <si>
    <t xml:space="preserve">e_DRINGEND 74.pdf</t>
  </si>
  <si>
    <t xml:space="preserve">Université de Genève</t>
  </si>
  <si>
    <t xml:space="preserve">Mr Frédéric Grand</t>
  </si>
  <si>
    <t xml:space="preserve">022 379 71 11</t>
  </si>
  <si>
    <t xml:space="preserve">batiments@unige.ch</t>
  </si>
  <si>
    <t xml:space="preserve">Transformation de locaux universitaires</t>
  </si>
  <si>
    <t xml:space="preserve">3413014</t>
  </si>
  <si>
    <t xml:space="preserve">Division Bâtiments, logistique et sécurité, Rue Général-Dufour 24, Case postale, 1211 Genève 8</t>
  </si>
  <si>
    <t xml:space="preserve">http://www.unige.ch</t>
  </si>
  <si>
    <t xml:space="preserve">Avenue de Champel 9, 1206 Genève</t>
  </si>
  <si>
    <t xml:space="preserve">Transformation au 7ème étage de locaux universitaires.</t>
  </si>
  <si>
    <t xml:space="preserve">e_DRINGEND 75.pdf</t>
  </si>
  <si>
    <t xml:space="preserve">Francesco Corleone</t>
  </si>
  <si>
    <t xml:space="preserve">022 809 89 59</t>
  </si>
  <si>
    <t xml:space="preserve">Changement d'affectation partielle en bureaux</t>
  </si>
  <si>
    <t xml:space="preserve">3377805</t>
  </si>
  <si>
    <t xml:space="preserve">c/o A. Corazzini Atelier d'Architecture, Rue du Colonel-Coutau 3, 1205 Genève</t>
  </si>
  <si>
    <t xml:space="preserve">Rue Agasse 43, 1208 Genève</t>
  </si>
  <si>
    <t xml:space="preserve">Changement d'affectation partielle en bureaux, création d'un escalier extérieur d'accès au sous-sol, transformations intérieures</t>
  </si>
  <si>
    <t xml:space="preserve">A. Corazzini Atelier d'Architecture</t>
  </si>
  <si>
    <t xml:space="preserve">Mr Alexandre Corazzini</t>
  </si>
  <si>
    <t xml:space="preserve">corazzini@atelier-architectes.ch</t>
  </si>
  <si>
    <t xml:space="preserve">Rue du Colonel-Coutau 3, 1205 Genève</t>
  </si>
  <si>
    <t xml:space="preserve">e_DRINGEND 76.pdf</t>
  </si>
  <si>
    <t xml:space="preserve">Openest Coworking SA</t>
  </si>
  <si>
    <t xml:space="preserve">Ms Nathalie Darmon</t>
  </si>
  <si>
    <t xml:space="preserve">022 980 94 00</t>
  </si>
  <si>
    <t xml:space="preserve">3379042</t>
  </si>
  <si>
    <t xml:space="preserve">Chemin de Riantbosson 19, 1217 Meyrin</t>
  </si>
  <si>
    <t xml:space="preserve">http://www.cosyup.work</t>
  </si>
  <si>
    <t xml:space="preserve">Transformation et rénovation de bureaux au 4ème étage</t>
  </si>
  <si>
    <t xml:space="preserve">Arnaud Berthier Conseil &amp; Développement</t>
  </si>
  <si>
    <t xml:space="preserve">Mr Arnaud Berthier</t>
  </si>
  <si>
    <t xml:space="preserve">079 870 58 22</t>
  </si>
  <si>
    <t xml:space="preserve">Quai Gustave-Ador 62, 1207 Genève</t>
  </si>
  <si>
    <t xml:space="preserve">http://www.abcd.archi</t>
  </si>
  <si>
    <t xml:space="preserve">e_DRINGEND 77.pdf</t>
  </si>
  <si>
    <t xml:space="preserve">Rosetabor III SA</t>
  </si>
  <si>
    <t xml:space="preserve">Mr Xavier Jeanneret</t>
  </si>
  <si>
    <t xml:space="preserve">022 796 07 45</t>
  </si>
  <si>
    <t xml:space="preserve">Aménagement d'une salle de pilâtes et de bureaux</t>
  </si>
  <si>
    <t xml:space="preserve">1219 Châtelaine</t>
  </si>
  <si>
    <t xml:space="preserve">3379062</t>
  </si>
  <si>
    <t xml:space="preserve">Avenue de l'Etang 57, 1219 Châtelaine</t>
  </si>
  <si>
    <t xml:space="preserve">Avenue de l'Etang, 1219 Châtelaine</t>
  </si>
  <si>
    <t xml:space="preserve">Aménagement d'une salle de pilâtes et de bureaux au 2ème étage - raccordement à une installation de climatisation existante</t>
  </si>
  <si>
    <t xml:space="preserve">CCHE Genève SA</t>
  </si>
  <si>
    <t xml:space="preserve">Mr Daniel Grosso</t>
  </si>
  <si>
    <t xml:space="preserve">022 342 59 30</t>
  </si>
  <si>
    <t xml:space="preserve">geneve@cche.ch</t>
  </si>
  <si>
    <t xml:space="preserve">Rue du Vieux-Billard 3, 1205 Genève</t>
  </si>
  <si>
    <t xml:space="preserve">e_DRINGEND 78.pdf</t>
  </si>
  <si>
    <t xml:space="preserve">AMD SWISS INTERIOR DESIGNER Sàrl</t>
  </si>
  <si>
    <t xml:space="preserve">Mr François Damidot</t>
  </si>
  <si>
    <t xml:space="preserve">079 933 65 31</t>
  </si>
  <si>
    <t xml:space="preserve">contact@amd-interiordesigner.com</t>
  </si>
  <si>
    <t xml:space="preserve">Aménagement d'une surface au gré du preneur</t>
  </si>
  <si>
    <t xml:space="preserve">3379361</t>
  </si>
  <si>
    <t xml:space="preserve">Route de l'Aéroport 7, 1950 Sion</t>
  </si>
  <si>
    <t xml:space="preserve">http://www.amd-interiordesigner.com</t>
  </si>
  <si>
    <t xml:space="preserve">Aménagement d'une surface au gré du preneur au 4ème étage</t>
  </si>
  <si>
    <t xml:space="preserve">Mr Laurent Willimann</t>
  </si>
  <si>
    <t xml:space="preserve">e_DRINGEND 79.pdf</t>
  </si>
  <si>
    <t xml:space="preserve">Pensimo Management AG</t>
  </si>
  <si>
    <t xml:space="preserve">Mr Florent Simonot</t>
  </si>
  <si>
    <t xml:space="preserve">044 518 02 00</t>
  </si>
  <si>
    <t xml:space="preserve">kontakt@pensimo.ch</t>
  </si>
  <si>
    <t xml:space="preserve">Transformation de bureaux sur deux étages</t>
  </si>
  <si>
    <t xml:space="preserve">3379468</t>
  </si>
  <si>
    <t xml:space="preserve">Obstgartenstrasse 19, Postfach 246, 8042 Zürich</t>
  </si>
  <si>
    <t xml:space="preserve">http://www.pensimo.ch</t>
  </si>
  <si>
    <t xml:space="preserve">Rue Richard-Wagner 1, 1202 Genève</t>
  </si>
  <si>
    <t xml:space="preserve">Transformation de bureaux aux 4ème et 6ème étages</t>
  </si>
  <si>
    <t xml:space="preserve">Mr Christophe Ganz</t>
  </si>
  <si>
    <t xml:space="preserve">geneve@gmaa.ch</t>
  </si>
  <si>
    <t xml:space="preserve">http://www.gmarchitectes.com</t>
  </si>
  <si>
    <t xml:space="preserve">e_DRINGEND 80.pdf</t>
  </si>
  <si>
    <t xml:space="preserve">Brevan Howard Investment Products Limited</t>
  </si>
  <si>
    <t xml:space="preserve">Ms Sonia Khadhraoui</t>
  </si>
  <si>
    <t xml:space="preserve">022 884 06 00</t>
  </si>
  <si>
    <t xml:space="preserve">3379408</t>
  </si>
  <si>
    <t xml:space="preserve">Succursale de Genève, Rue du Rhône 7, 1204 Genève</t>
  </si>
  <si>
    <t xml:space="preserve">http://www.brevanhoward.com</t>
  </si>
  <si>
    <t xml:space="preserve">Rue du Rhône 5, 7, 9, 1204 Genève</t>
  </si>
  <si>
    <t xml:space="preserve">Transformation de bureaux au 3ème et 4ème étage</t>
  </si>
  <si>
    <t xml:space="preserve">Olivier Vallat Architectes</t>
  </si>
  <si>
    <t xml:space="preserve">022 321 41 78</t>
  </si>
  <si>
    <t xml:space="preserve">info@ovarchitectes.com</t>
  </si>
  <si>
    <t xml:space="preserve">Rue des Vieux-Grenadiers 8, Case postale 108, 1211 Genève 8</t>
  </si>
  <si>
    <t xml:space="preserve">http://www.ovarchitectes.com</t>
  </si>
  <si>
    <t xml:space="preserve">e_DRINGEND 81.pdf</t>
  </si>
  <si>
    <t xml:space="preserve">RISTER Sàrl</t>
  </si>
  <si>
    <t xml:space="preserve">022 566 82 45</t>
  </si>
  <si>
    <t xml:space="preserve">Aménagement de bureaux au 3ème étage</t>
  </si>
  <si>
    <t xml:space="preserve">3379479</t>
  </si>
  <si>
    <t xml:space="preserve">http://www.rister.ch</t>
  </si>
  <si>
    <t xml:space="preserve">Mario Marques</t>
  </si>
  <si>
    <t xml:space="preserve">e_DRINGEND 82.pdf</t>
  </si>
  <si>
    <t xml:space="preserve">Swiss Prime Site Immobilen AG</t>
  </si>
  <si>
    <t xml:space="preserve">058 317 17 17</t>
  </si>
  <si>
    <t xml:space="preserve">info@sps.swiss</t>
  </si>
  <si>
    <t xml:space="preserve">Aménagement intérieur de bureaux au 2ème étage</t>
  </si>
  <si>
    <t xml:space="preserve">1212 Grand-Lancy</t>
  </si>
  <si>
    <t xml:space="preserve">3388125</t>
  </si>
  <si>
    <t xml:space="preserve">Rue du Rhône 54 / 3ème étage, 1204 Genève</t>
  </si>
  <si>
    <t xml:space="preserve">http://www.sps.swiss</t>
  </si>
  <si>
    <t xml:space="preserve">Esplanade de Pont-Rouge 9a, 1212 Grand-Lancy</t>
  </si>
  <si>
    <t xml:space="preserve">e_DRINGEND 83.pdf</t>
  </si>
  <si>
    <t xml:space="preserve">Same project as DRINGEND 51.pdf (p.1)</t>
  </si>
  <si>
    <t xml:space="preserve">Same project as DRINGEND 32.pdf (p.1)</t>
  </si>
  <si>
    <t xml:space="preserve">e_DRINGEND 84.pdf</t>
  </si>
  <si>
    <t xml:space="preserve">Mission permanente du Brésil auprès de l'ONU</t>
  </si>
  <si>
    <t xml:space="preserve">022 332 50 00</t>
  </si>
  <si>
    <t xml:space="preserve">3380609</t>
  </si>
  <si>
    <t xml:space="preserve">Chemin Camille-Vidart 15, 1202 Genève</t>
  </si>
  <si>
    <t xml:space="preserve">Avenue de la Paix 5, 1202 Genève</t>
  </si>
  <si>
    <t xml:space="preserve">Aménagement de surfaces administratives. Dossier confidentiel, pas d'information</t>
  </si>
  <si>
    <t xml:space="preserve">NOVO Architectes Sàrl</t>
  </si>
  <si>
    <t xml:space="preserve">Mr Mario Marques</t>
  </si>
  <si>
    <t xml:space="preserve">076 429 66 64</t>
  </si>
  <si>
    <t xml:space="preserve">info@novo-architectes.ch</t>
  </si>
  <si>
    <t xml:space="preserve">Chemin de Grange-Collomb 34, 1212 Grand-Lancy</t>
  </si>
  <si>
    <t xml:space="preserve">http://www.novo-architectes.ch</t>
  </si>
  <si>
    <t xml:space="preserve">Aménagement bureau et salle de conférence</t>
  </si>
  <si>
    <t xml:space="preserve">3388748</t>
  </si>
  <si>
    <t xml:space="preserve">Aménagement intérieur de bureau et salle de conférence aux 7ème et 8ème étages</t>
  </si>
  <si>
    <t xml:space="preserve">Congress Service Sàrl</t>
  </si>
  <si>
    <t xml:space="preserve">Mr Jorge Felix Gali Bejerano</t>
  </si>
  <si>
    <t xml:space="preserve">022 736 87 16</t>
  </si>
  <si>
    <t xml:space="preserve">Aménagement d'un local et création d'une mezzanine</t>
  </si>
  <si>
    <t xml:space="preserve">3388395</t>
  </si>
  <si>
    <t xml:space="preserve">Chemin J. -Ph.-De-Sauvage 37, 1219 Châtelaine</t>
  </si>
  <si>
    <t xml:space="preserve">http://www.congress-service.ch</t>
  </si>
  <si>
    <t xml:space="preserve">Chemin J.-Ph.-De-SAUVAGE 37, 1219 Châtelaine</t>
  </si>
  <si>
    <t xml:space="preserve">Aménagement d'un local et création d'une mezzanine pour une entreprise dans le domaine de l'audiovisuel</t>
  </si>
  <si>
    <t xml:space="preserve">PAR Architecture Sàrl</t>
  </si>
  <si>
    <t xml:space="preserve">Mr Mario Da Fonseca Rodrigues</t>
  </si>
  <si>
    <t xml:space="preserve">022 503 93 40</t>
  </si>
  <si>
    <t xml:space="preserve">contact@par-architecture.ch</t>
  </si>
  <si>
    <t xml:space="preserve">Rue Cramer 8, 1202 Genève</t>
  </si>
  <si>
    <t xml:space="preserve">http://www.par-architecture.ch</t>
  </si>
  <si>
    <t xml:space="preserve">e_DRINGEND 85.pdf</t>
  </si>
  <si>
    <t xml:space="preserve">WEBCOR SA</t>
  </si>
  <si>
    <t xml:space="preserve">022 906 76 46</t>
  </si>
  <si>
    <t xml:space="preserve">info@webcorgroup.com</t>
  </si>
  <si>
    <t xml:space="preserve">Transformation et réaménagement de bureaux</t>
  </si>
  <si>
    <t xml:space="preserve">3423872</t>
  </si>
  <si>
    <t xml:space="preserve">Rue du Rhône 40, 1204 Genève</t>
  </si>
  <si>
    <t xml:space="preserve">http://www.webcorgroup.com</t>
  </si>
  <si>
    <t xml:space="preserve">Transformation et réaménagement de bureaux au 4ème étage.</t>
  </si>
  <si>
    <t xml:space="preserve">Klip Architectes Sàrl</t>
  </si>
  <si>
    <t xml:space="preserve">Mr Guillermo Funcia</t>
  </si>
  <si>
    <t xml:space="preserve">022 543 36 07</t>
  </si>
  <si>
    <t xml:space="preserve">archi@klip-a.ch</t>
  </si>
  <si>
    <t xml:space="preserve">Rue Cécile-Biéler-Butticaz 7, 1207 Genève</t>
  </si>
  <si>
    <t xml:space="preserve">http://www.klip-a.ch</t>
  </si>
  <si>
    <t xml:space="preserve">e_DRINGEND 86.pdf</t>
  </si>
  <si>
    <t xml:space="preserve">Transformation et rénovation de salle de classe</t>
  </si>
  <si>
    <t xml:space="preserve">3389078</t>
  </si>
  <si>
    <t xml:space="preserve">Rue de la Coulouvrenière 3, 5, 1204 Genève</t>
  </si>
  <si>
    <t xml:space="preserve">Transformation et rénovation de salle de classe et atelier au rez-de-chaussée</t>
  </si>
  <si>
    <t xml:space="preserve">AL-ATWI Architectes</t>
  </si>
  <si>
    <t xml:space="preserve">Mr Ahmed Al-Atwi</t>
  </si>
  <si>
    <t xml:space="preserve">078 882 23 77</t>
  </si>
  <si>
    <t xml:space="preserve">info@alatwi-architectes.ch</t>
  </si>
  <si>
    <t xml:space="preserve">Avenue Sainte-Cécile 37, 1217 Meyrin</t>
  </si>
  <si>
    <t xml:space="preserve">http://www.alatwi-architectes.ch</t>
  </si>
  <si>
    <t xml:space="preserve">Bunge SA</t>
  </si>
  <si>
    <t xml:space="preserve">Mr Christos Dimopoulos</t>
  </si>
  <si>
    <t xml:space="preserve">022 592 91 00</t>
  </si>
  <si>
    <t xml:space="preserve">beu.comm@bunge.com</t>
  </si>
  <si>
    <t xml:space="preserve">Réaménagement de bureaux sur trois étages</t>
  </si>
  <si>
    <t xml:space="preserve">3389044</t>
  </si>
  <si>
    <t xml:space="preserve">http://www.bunge.com</t>
  </si>
  <si>
    <t xml:space="preserve">Réaménagement de bureaux du 1er au 3ème étage - raccordement sur installation de climatisation existante</t>
  </si>
  <si>
    <t xml:space="preserve">Acau Architecture SA</t>
  </si>
  <si>
    <t xml:space="preserve">Mr Darius Golchan</t>
  </si>
  <si>
    <t xml:space="preserve">022 343 03 30</t>
  </si>
  <si>
    <t xml:space="preserve">info@acau.ch</t>
  </si>
  <si>
    <t xml:space="preserve">Rue des Allobroges 9, 1227 Carouge GE</t>
  </si>
  <si>
    <t xml:space="preserve">http://www.acau.ch</t>
  </si>
  <si>
    <t xml:space="preserve">Commune de Meyrin</t>
  </si>
  <si>
    <t xml:space="preserve">022 782 82 82</t>
  </si>
  <si>
    <t xml:space="preserve">meyrin@meyrin.ch</t>
  </si>
  <si>
    <t xml:space="preserve">Rénovation, surélévation et agrandissement de l'école Meyrin Village</t>
  </si>
  <si>
    <t xml:space="preserve">3217316</t>
  </si>
  <si>
    <t xml:space="preserve">Rue des Boudines 2, Case postale 367, 1217 Meyrin 1</t>
  </si>
  <si>
    <t xml:space="preserve">http://www.meyrin.ch</t>
  </si>
  <si>
    <t xml:space="preserve">Avenue de Vaudagne 6, 8, 1217 Meyrin</t>
  </si>
  <si>
    <t xml:space="preserve">Surélévation, agrandissement, rénovation énergétique, de l'école de Meyrin village, rajout de 2 niveaux d'étages pour la création de 6 salles de classes. Création d'un pavillon, végétalisation des préaux et des toitures et intégration de panneaux solaires. Installation d'un bâtiment modulaire. Travaux de préau, espace coulo ..&gt;</t>
  </si>
  <si>
    <t xml:space="preserve">Commune de Meyrin Urbanisme, travaux publics et énergie</t>
  </si>
  <si>
    <t xml:space="preserve">022 989 16 93</t>
  </si>
  <si>
    <t xml:space="preserve">Atba SA</t>
  </si>
  <si>
    <t xml:space="preserve">Mr Stéphane Fuchs</t>
  </si>
  <si>
    <t xml:space="preserve">022 322 89 50</t>
  </si>
  <si>
    <t xml:space="preserve">info@atba.ch</t>
  </si>
  <si>
    <t xml:space="preserve">Rue Soubeyran 7, 1203 Genève</t>
  </si>
  <si>
    <t xml:space="preserve">http://www.atba.ch</t>
  </si>
  <si>
    <t xml:space="preserve">Changement d'affectation en locaux Conservatoire</t>
  </si>
  <si>
    <t xml:space="preserve">3388991</t>
  </si>
  <si>
    <t xml:space="preserve">Chemin de Tréchaumont 6, 1232 Confignon</t>
  </si>
  <si>
    <t xml:space="preserve">Changement d'affectation et transformation d'un logement de fonction avec garage en locaux pour le Conservatoire de Musique</t>
  </si>
  <si>
    <t xml:space="preserve">e_DRINGEND 87.pdf</t>
  </si>
  <si>
    <t xml:space="preserve">WHITE OAK ASSET MANAGEMENT SA</t>
  </si>
  <si>
    <t xml:space="preserve">Mr Thomas Bréchet</t>
  </si>
  <si>
    <t xml:space="preserve">022 518 17 40</t>
  </si>
  <si>
    <t xml:space="preserve">info@whiteoakam.com</t>
  </si>
  <si>
    <t xml:space="preserve">3389250</t>
  </si>
  <si>
    <t xml:space="preserve">Rue du Rhône 17, 1204 Genève</t>
  </si>
  <si>
    <t xml:space="preserve">http://www.whiteoakam.com</t>
  </si>
  <si>
    <t xml:space="preserve">Rue de Rive 15 / Rue d'Italie 10, 1204 Genève</t>
  </si>
  <si>
    <t xml:space="preserve">Aménagement intérieur de bureaux au 4ème étage</t>
  </si>
  <si>
    <t xml:space="preserve">M Studio SA</t>
  </si>
  <si>
    <t xml:space="preserve">Ms Vanessa Mori-Rouiller</t>
  </si>
  <si>
    <t xml:space="preserve">022 363 10 50</t>
  </si>
  <si>
    <t xml:space="preserve">Chemin de la Pallanterie 8, 1252 Meinier</t>
  </si>
  <si>
    <t xml:space="preserve">Arab Bank (Switzerland)</t>
  </si>
  <si>
    <t xml:space="preserve">Mr Enrico Rota</t>
  </si>
  <si>
    <t xml:space="preserve">022 715 12 11</t>
  </si>
  <si>
    <t xml:space="preserve">Transformation de bureaux au 4ème étage</t>
  </si>
  <si>
    <t xml:space="preserve">3389227</t>
  </si>
  <si>
    <t xml:space="preserve">Banque, Place de Longemalle 10-12, 1204 Genève</t>
  </si>
  <si>
    <t xml:space="preserve">http://www.arabbank.ch</t>
  </si>
  <si>
    <t xml:space="preserve">Place de Longemalle 10, 1204 Genève</t>
  </si>
  <si>
    <t xml:space="preserve">Eyre Architecture Sàrl</t>
  </si>
  <si>
    <t xml:space="preserve">Mr Loïc Chareyre</t>
  </si>
  <si>
    <t xml:space="preserve">022 321 02 34</t>
  </si>
  <si>
    <t xml:space="preserve">loic@eyre-architecture.ch</t>
  </si>
  <si>
    <t xml:space="preserve">Rue du Stand 37, 1204 Genève</t>
  </si>
  <si>
    <t xml:space="preserve">http://www.eyre-architecture.ch</t>
  </si>
  <si>
    <t xml:space="preserve">e_DRINGEND 88.pdf</t>
  </si>
  <si>
    <t xml:space="preserve">Mr Julien Valente</t>
  </si>
  <si>
    <t xml:space="preserve">3389410</t>
  </si>
  <si>
    <t xml:space="preserve">Rue Liotard 62, 1203 Genève</t>
  </si>
  <si>
    <t xml:space="preserve">Transformation et rénovation de bureaux au rez-de-chaussée</t>
  </si>
  <si>
    <t xml:space="preserve">BFL CAPITAL SA</t>
  </si>
  <si>
    <t xml:space="preserve">Transformation de deux surfaces administratives</t>
  </si>
  <si>
    <t xml:space="preserve">1209 Genève</t>
  </si>
  <si>
    <t xml:space="preserve">3389132</t>
  </si>
  <si>
    <t xml:space="preserve">Chemin du Petit-Saconnex 28b, 1209 Genève</t>
  </si>
  <si>
    <t xml:space="preserve">Chemin du Petit-Saconnex 28, 28a, 1209 Genève</t>
  </si>
  <si>
    <t xml:space="preserve">Transformation de deux surfaces administratives au rez-de-chaussée: changement d'affectation et transformation d'une surface administrative en logement de deux piéces avec une salle de bain, une cuisine, un séjour et une chambre. Durée des travaux 2 mois.</t>
  </si>
  <si>
    <t xml:space="preserve">Domaine du Château-du-Crest, E. Meyer &amp; Cie SNC</t>
  </si>
  <si>
    <t xml:space="preserve">Mr Josef Meyer</t>
  </si>
  <si>
    <t xml:space="preserve">022 759 11 23</t>
  </si>
  <si>
    <t xml:space="preserve">info@domaineducrest.ch</t>
  </si>
  <si>
    <t xml:space="preserve">Agrandissement d'un hangar agricole/porcherie</t>
  </si>
  <si>
    <t xml:space="preserve">1254 Jussy</t>
  </si>
  <si>
    <t xml:space="preserve">3389210</t>
  </si>
  <si>
    <t xml:space="preserve">Route du Château-du-Crest 40, 1254 Jussy</t>
  </si>
  <si>
    <t xml:space="preserve">http://www.domaineducrest.ch</t>
  </si>
  <si>
    <t xml:space="preserve">Agrandissement d'un hangar agricole, aménagement d'une porcherie, installation de silos. Le projet concerne la transformation d'une porcherie par une modification d'une partie de son volume et des espaces intérieurs.</t>
  </si>
  <si>
    <t xml:space="preserve">de Giuli &amp; Portier architectes SA</t>
  </si>
  <si>
    <t xml:space="preserve">Ms Valentine De Giuli</t>
  </si>
  <si>
    <t xml:space="preserve">022 879 05 90</t>
  </si>
  <si>
    <t xml:space="preserve">info@dgpa.ch</t>
  </si>
  <si>
    <t xml:space="preserve">Chemin de l'Echo 3, 1213 Onex</t>
  </si>
  <si>
    <t xml:space="preserve">http://www.dgpa.ch</t>
  </si>
  <si>
    <t xml:space="preserve">e_DRINGEND 89.pdf</t>
  </si>
  <si>
    <t xml:space="preserve">OMPI Organisation Mondiale de la Propriété Intellectuelle</t>
  </si>
  <si>
    <t xml:space="preserve">Ms Bérénice Bessière</t>
  </si>
  <si>
    <t xml:space="preserve">022 338 91 11</t>
  </si>
  <si>
    <t xml:space="preserve">wipo.mail@wipo.int</t>
  </si>
  <si>
    <t xml:space="preserve">OMPI - Sécurisation de l'entrée du bâtiment NB</t>
  </si>
  <si>
    <t xml:space="preserve">3389152</t>
  </si>
  <si>
    <t xml:space="preserve">Chemin des Colombettes 34, 1202 Genève</t>
  </si>
  <si>
    <t xml:space="preserve">http://www.wipo.int</t>
  </si>
  <si>
    <t xml:space="preserve">Chemin des Colombettes 35, 1202 Genève</t>
  </si>
  <si>
    <t xml:space="preserve">Sécurisation de l'entrée du bâtiment</t>
  </si>
  <si>
    <t xml:space="preserve">3389423</t>
  </si>
  <si>
    <t xml:space="preserve">Sécurisation de l'entrée du bâtiment AB (centre d'accès)</t>
  </si>
  <si>
    <t xml:space="preserve">e_DRINGEND 90.pdf</t>
  </si>
  <si>
    <t xml:space="preserve">Publicis Live SA</t>
  </si>
  <si>
    <t xml:space="preserve">Ms Priscilla Pat O'genick</t>
  </si>
  <si>
    <t xml:space="preserve">022 718 64 64</t>
  </si>
  <si>
    <t xml:space="preserve">info@publicislive.com</t>
  </si>
  <si>
    <t xml:space="preserve">Séparation d'un bureau et d'un local de stockage</t>
  </si>
  <si>
    <t xml:space="preserve">3390593</t>
  </si>
  <si>
    <t xml:space="preserve">Rue Pierre-Fatio 15, 1204 Genève</t>
  </si>
  <si>
    <t xml:space="preserve">http://www.publicislive.com</t>
  </si>
  <si>
    <t xml:space="preserve">Séparation d'un bureau et d'un local de stockage au 8ème étage</t>
  </si>
  <si>
    <t xml:space="preserve">Strata Architecture Sàrl</t>
  </si>
  <si>
    <t xml:space="preserve">Mr Pierre-André Bohnet Pinho</t>
  </si>
  <si>
    <t xml:space="preserve">022 332 44 88</t>
  </si>
  <si>
    <t xml:space="preserve">info@strata.ch</t>
  </si>
  <si>
    <t xml:space="preserve">Route de Saint-Julien 40, 1227 Carouge GE</t>
  </si>
  <si>
    <t xml:space="preserve">http://www.strata.ch</t>
  </si>
  <si>
    <t xml:space="preserve">e_DRINGEND 91.pdf</t>
  </si>
  <si>
    <t xml:space="preserve">Transformation d'un bureau au 3ème étage</t>
  </si>
  <si>
    <t xml:space="preserve">3390697</t>
  </si>
  <si>
    <t xml:space="preserve">Boulevard D'Yvoy 4, 1205 Genève</t>
  </si>
  <si>
    <t xml:space="preserve">Ville de Genève</t>
  </si>
  <si>
    <t xml:space="preserve">022 418 34 05</t>
  </si>
  <si>
    <t xml:space="preserve">Reconduction de l'autorisation pavillon scolaire</t>
  </si>
  <si>
    <t xml:space="preserve">3390689</t>
  </si>
  <si>
    <t xml:space="preserve">Rue de l'Hôtel-de-Ville 5, 1204 Genève</t>
  </si>
  <si>
    <t xml:space="preserve">Rue Le-Corbusier 2, 1208 Genève</t>
  </si>
  <si>
    <t xml:space="preserve">Reconduction de l'autorisation de construire pour un pavillon scolaire provisoire (10 ans)</t>
  </si>
  <si>
    <t xml:space="preserve">dl-a, designlab-architecture sa</t>
  </si>
  <si>
    <t xml:space="preserve">Mr Vincent Mas Durbec</t>
  </si>
  <si>
    <t xml:space="preserve">022 307 01 30</t>
  </si>
  <si>
    <t xml:space="preserve">mail@dl-a.ch</t>
  </si>
  <si>
    <t xml:space="preserve">Ines Lamunière, Vincent Mas Durbec et Afonso Ponces de, Serpa, Rue Liotard 5, 1202 Genève</t>
  </si>
  <si>
    <t xml:space="preserve">http://www.dl-a.ch</t>
  </si>
  <si>
    <t xml:space="preserve">e_DRINGEND 92.pdf</t>
  </si>
  <si>
    <t xml:space="preserve">DFS SA</t>
  </si>
  <si>
    <t xml:space="preserve">Ms Rebeca Salmon</t>
  </si>
  <si>
    <t xml:space="preserve">022 310 67 90</t>
  </si>
  <si>
    <t xml:space="preserve">3390878</t>
  </si>
  <si>
    <t xml:space="preserve">Place de la Fusterie 14, 1204 Genève</t>
  </si>
  <si>
    <t xml:space="preserve">Transformation et rénovation de bureaux au 2ème étage</t>
  </si>
  <si>
    <t xml:space="preserve">Gonzalez Palma Architectes</t>
  </si>
  <si>
    <t xml:space="preserve">Mr Juan Gonzalez Palma</t>
  </si>
  <si>
    <t xml:space="preserve">078 676 87 44</t>
  </si>
  <si>
    <t xml:space="preserve">juanmanuelgonzalezp@gmail.com</t>
  </si>
  <si>
    <t xml:space="preserve">Rue Jean-Charles-Amat 3, 1202 Genève</t>
  </si>
  <si>
    <t xml:space="preserve">HIKMA PHARMACEUTICALS INTERNATIONAL LIMITED</t>
  </si>
  <si>
    <t xml:space="preserve">Mr Faisal Darwazeh</t>
  </si>
  <si>
    <t xml:space="preserve">022 300 40 20</t>
  </si>
  <si>
    <t xml:space="preserve">Aménagements de bureaux au 13ème étage</t>
  </si>
  <si>
    <t xml:space="preserve">3391037</t>
  </si>
  <si>
    <t xml:space="preserve">Londres, succursale de Genève c/o HOUSE attorneys SA, Route de Frontenex 41a, 1207 Genève</t>
  </si>
  <si>
    <t xml:space="preserve">Fondation de l'Ecole internationale de Genève</t>
  </si>
  <si>
    <t xml:space="preserve">Mr Benjamin Augert</t>
  </si>
  <si>
    <t xml:space="preserve">022 787 24 00</t>
  </si>
  <si>
    <t xml:space="preserve">administration@ecolint.ch</t>
  </si>
  <si>
    <t xml:space="preserve">Aménagement d'un bureau d'accueil</t>
  </si>
  <si>
    <t xml:space="preserve">3390993</t>
  </si>
  <si>
    <t xml:space="preserve">Ecolint, Route de Chêne 62, 1208 Genève</t>
  </si>
  <si>
    <t xml:space="preserve">Route des Morillons 11, 1218 Le Grand-Saconnex</t>
  </si>
  <si>
    <t xml:space="preserve">Aménagement d'un bureau d'accueil au RDC et transformation de 4 salles de classe en laboratoires et agrandissement d'un bureau au 5ème étage - installation d'un monobloc de ventilation en toiture</t>
  </si>
  <si>
    <t xml:space="preserve">Block B architectes Sarl</t>
  </si>
  <si>
    <t xml:space="preserve">Mr Rémy Brogniart</t>
  </si>
  <si>
    <t xml:space="preserve">078 666 29 44</t>
  </si>
  <si>
    <t xml:space="preserve">r.brogniart@blockbarchitectes.ch</t>
  </si>
  <si>
    <t xml:space="preserve">Chemin de la Gravière 4, 1227 Carouge GE</t>
  </si>
  <si>
    <t xml:space="preserve">http://www.blockbarchitectes.ch</t>
  </si>
  <si>
    <t xml:space="preserve">e_DRINGEND 93.pdf</t>
  </si>
  <si>
    <t xml:space="preserve">Rosset &amp; Cie</t>
  </si>
  <si>
    <t xml:space="preserve">Mr Olivier Droupy</t>
  </si>
  <si>
    <t xml:space="preserve">022 339 39 39</t>
  </si>
  <si>
    <t xml:space="preserve">info@rosset.ch</t>
  </si>
  <si>
    <t xml:space="preserve">Aménagements de bureaux au 4ème étage</t>
  </si>
  <si>
    <t xml:space="preserve">3392746</t>
  </si>
  <si>
    <t xml:space="preserve">Agence immobilière, Route de Chancy 85, Case postale 650, 1213 Petit-Lancy 1</t>
  </si>
  <si>
    <t xml:space="preserve">http://www.rosset.ch</t>
  </si>
  <si>
    <t xml:space="preserve">Chemin des Coquelicots 16, 1214 Vernier</t>
  </si>
  <si>
    <t xml:space="preserve">P.C.F.S. DEVELOPPEMENT Sàrl</t>
  </si>
  <si>
    <t xml:space="preserve">Mr Hugo Humberset</t>
  </si>
  <si>
    <t xml:space="preserve">078 222 22 62</t>
  </si>
  <si>
    <t xml:space="preserve">contact@pcfs.ch</t>
  </si>
  <si>
    <t xml:space="preserve">Rue des Epinettes 19, 1227 Les Acacias</t>
  </si>
  <si>
    <t xml:space="preserve">http://www.pcfs.ch</t>
  </si>
  <si>
    <t xml:space="preserve">e_DRINGEND 94.pdf</t>
  </si>
  <si>
    <t xml:space="preserve">Aménagements de laboratoires et bureaux</t>
  </si>
  <si>
    <t xml:space="preserve">3393709</t>
  </si>
  <si>
    <t xml:space="preserve">Aménagements de laboratoires, bureaux et salle de réunion au rez-de-chaussée</t>
  </si>
  <si>
    <t xml:space="preserve">e_DRINGEND 95.pdf</t>
  </si>
  <si>
    <t xml:space="preserve">Talan SA</t>
  </si>
  <si>
    <t xml:space="preserve">Mr Mehdi Fakri</t>
  </si>
  <si>
    <t xml:space="preserve">022 721 02 00</t>
  </si>
  <si>
    <t xml:space="preserve">secretariat.suisse@talan.com</t>
  </si>
  <si>
    <t xml:space="preserve">Aménagements d'une surface administrative</t>
  </si>
  <si>
    <t xml:space="preserve">3394572</t>
  </si>
  <si>
    <t xml:space="preserve">Place Ruth-Bösiger 6, 1201 Genève</t>
  </si>
  <si>
    <t xml:space="preserve">http://www.talan.com</t>
  </si>
  <si>
    <t xml:space="preserve">Aménagements d'une surface administrative au 3ème étage</t>
  </si>
  <si>
    <t xml:space="preserve">e_DRINGEND 96.pdf</t>
  </si>
  <si>
    <t xml:space="preserve">UER - Union Européenne de Radio-Télévision</t>
  </si>
  <si>
    <t xml:space="preserve">Mr Emmanuel Frantz</t>
  </si>
  <si>
    <t xml:space="preserve">022 717 21 11</t>
  </si>
  <si>
    <t xml:space="preserve">ebu@ebu.ch</t>
  </si>
  <si>
    <t xml:space="preserve">Rénovation intérieure d'un bâtiment administratif</t>
  </si>
  <si>
    <t xml:space="preserve">3423962</t>
  </si>
  <si>
    <t xml:space="preserve">L'Ancienne-Route 17a, 1218 Le Grand-Saconnex</t>
  </si>
  <si>
    <t xml:space="preserve">http://www.ebu.ch</t>
  </si>
  <si>
    <t xml:space="preserve">L'Ancienne-Route 17a, 17b, 1218 Le Grand-Saconnex</t>
  </si>
  <si>
    <t xml:space="preserve">Rénovation intérieure d'un bâtiment administratif au s.-sol, rez-de-chaussée, 1er et 2ème étages.</t>
  </si>
  <si>
    <t xml:space="preserve">Studio Banana SA</t>
  </si>
  <si>
    <t xml:space="preserve">Mr Key Fernando Portilla Kawamura</t>
  </si>
  <si>
    <t xml:space="preserve">021 566 11 39</t>
  </si>
  <si>
    <t xml:space="preserve">lausanne@studiobanana.com</t>
  </si>
  <si>
    <t xml:space="preserve">Avenue des Acacias 7, 1006 Lausanne</t>
  </si>
  <si>
    <t xml:space="preserve">http://www.studiobanana.com</t>
  </si>
  <si>
    <t xml:space="preserve">e_DRINGEND 97.pdf</t>
  </si>
  <si>
    <t xml:space="preserve">Mr Nicolas Denic</t>
  </si>
  <si>
    <t xml:space="preserve">Aménagement d'un lieu d'accueil Aide aux migrants</t>
  </si>
  <si>
    <t xml:space="preserve">3403280</t>
  </si>
  <si>
    <t xml:space="preserve">Route de Meyrin 123, 1219 Châtelaine</t>
  </si>
  <si>
    <t xml:space="preserve">Aménagement d'un lieu d'accueil, d'information et d'intégration de l'Aide aux migrants au rez-de-chaussée et 1er étage</t>
  </si>
  <si>
    <t xml:space="preserve">e_DRINGEND 98.pdf</t>
  </si>
  <si>
    <t xml:space="preserve">Bucherer AG</t>
  </si>
  <si>
    <t xml:space="preserve">Ms Laetitia Isinger</t>
  </si>
  <si>
    <t xml:space="preserve">041 369 70 70</t>
  </si>
  <si>
    <t xml:space="preserve">info@carl-f-bucherer.com</t>
  </si>
  <si>
    <t xml:space="preserve">Transformation d'un bâtiment commercial</t>
  </si>
  <si>
    <t xml:space="preserve">3403579</t>
  </si>
  <si>
    <t xml:space="preserve">Langensandstrasse 27, Postfach, 6002 Luzern</t>
  </si>
  <si>
    <t xml:space="preserve">http://www.bucherer.com</t>
  </si>
  <si>
    <t xml:space="preserve">Rue du Rhône 45, 1204 Genève</t>
  </si>
  <si>
    <t xml:space="preserve">Transformation intérieure d'un bâtiment commercial au 4ème étage</t>
  </si>
  <si>
    <t xml:space="preserve">Lucas Falbriard</t>
  </si>
  <si>
    <t xml:space="preserve">Mr Lucas Falbriard</t>
  </si>
  <si>
    <t xml:space="preserve">info@lucasfalbriard.ch</t>
  </si>
  <si>
    <t xml:space="preserve">Architecte, Plateau de Frontenex 7b, 1208 Genève</t>
  </si>
  <si>
    <t xml:space="preserve">http://www.lucasfalbriard.ch</t>
  </si>
  <si>
    <t xml:space="preserve">e_DRINGEND 99.pdf</t>
  </si>
  <si>
    <t xml:space="preserve">Lombard Odier &amp; Cie</t>
  </si>
  <si>
    <t xml:space="preserve">Ms Sandrine Oppliger</t>
  </si>
  <si>
    <t xml:space="preserve">022 709 21 11</t>
  </si>
  <si>
    <t xml:space="preserve">Transformation de locaux administratifs</t>
  </si>
  <si>
    <t xml:space="preserve">3403763</t>
  </si>
  <si>
    <t xml:space="preserve">Compagnie immobilière, Rue de la Corraterie 11, Case postale 5215, 1211 Genève 11</t>
  </si>
  <si>
    <t xml:space="preserve">http://www.lombardodier.com</t>
  </si>
  <si>
    <t xml:space="preserve">Rue des Bains 33, 1205 Genève</t>
  </si>
  <si>
    <t xml:space="preserve">Transformation de locaux administratifs au 2ème étage</t>
  </si>
  <si>
    <t xml:space="preserve">e_DRINGEND 716.pdf</t>
  </si>
  <si>
    <t xml:space="preserve">Groupement intercommunal pour la défense contre l'incendie</t>
  </si>
  <si>
    <t xml:space="preserve">Transformation d'une centrale d'engagement</t>
  </si>
  <si>
    <t xml:space="preserve">3425421</t>
  </si>
  <si>
    <t xml:space="preserve">Rue du Vieux-Billard 11, 1205 Genève</t>
  </si>
  <si>
    <t xml:space="preserve">Military and civil protection</t>
  </si>
  <si>
    <t xml:space="preserve">Transformation d'une salle de conduite opérationnelle en salle de débordement de la centrale d'engagement et de traitement des alarmes et transformation de deux bureaux en salle de conduite opérationnelle au 3ème étage.</t>
  </si>
  <si>
    <t xml:space="preserve">Jöhl Architectes SA</t>
  </si>
  <si>
    <t xml:space="preserve">Mr Alexandre Jöhl</t>
  </si>
  <si>
    <t xml:space="preserve">Rue des Vieux-Grenadiers 8, 1205 Genève</t>
  </si>
  <si>
    <t xml:space="preserve">e_DRINGEND 717.pdf</t>
  </si>
  <si>
    <t xml:space="preserve">3425854</t>
  </si>
  <si>
    <t xml:space="preserve">Cours de Rive 13, 15, 1204 Genève</t>
  </si>
  <si>
    <t xml:space="preserve">Transformation et rénovation de bureaux et locaux au gré du preneur au 6ème étage.</t>
  </si>
  <si>
    <t xml:space="preserve">Aremis Suisse SA</t>
  </si>
  <si>
    <t xml:space="preserve">Ms Amélie Fleurial</t>
  </si>
  <si>
    <t xml:space="preserve">021 311 99 24</t>
  </si>
  <si>
    <t xml:space="preserve">switzerland@aremis.com</t>
  </si>
  <si>
    <t xml:space="preserve">Avenue Victor-Ruffy 98a, 1012 Lausanne</t>
  </si>
  <si>
    <t xml:space="preserve">http://www.aremis.com</t>
  </si>
  <si>
    <t xml:space="preserve">e_DRINGEND 718.pdf</t>
  </si>
  <si>
    <t xml:space="preserve">Fondation immobilière de la Ville de Carouge (FIVC)</t>
  </si>
  <si>
    <t xml:space="preserve">Mr Luigi Rota</t>
  </si>
  <si>
    <t xml:space="preserve">022 827 49 30</t>
  </si>
  <si>
    <t xml:space="preserve">contact@fivc.ch</t>
  </si>
  <si>
    <t xml:space="preserve">3425645</t>
  </si>
  <si>
    <t xml:space="preserve">Rue des Epinettes 12ter, Case postale 1129, 1227 Carouge GE</t>
  </si>
  <si>
    <t xml:space="preserve">http://www.carouge.ch</t>
  </si>
  <si>
    <t xml:space="preserve">Avenue Vibert 10, 1227 Carouge GE</t>
  </si>
  <si>
    <t xml:space="preserve">Transformation et réaménagement de bureaux au 13ème étage - remplacement de fenêtres.</t>
  </si>
  <si>
    <t xml:space="preserve">Atelier 92 Architectes Sàrl</t>
  </si>
  <si>
    <t xml:space="preserve">Mr Loïc Antonioli</t>
  </si>
  <si>
    <t xml:space="preserve">022 301 13 95</t>
  </si>
  <si>
    <t xml:space="preserve">info@atelier92.ch</t>
  </si>
  <si>
    <t xml:space="preserve">http://www.atelier92.ch</t>
  </si>
  <si>
    <t xml:space="preserve">e_DRINGEND 719.pdf</t>
  </si>
  <si>
    <t xml:space="preserve">Garda Capital Partners Sàrl</t>
  </si>
  <si>
    <t xml:space="preserve">Mr Andrew Brown</t>
  </si>
  <si>
    <t xml:space="preserve">022 580 17 00</t>
  </si>
  <si>
    <t xml:space="preserve">3426531</t>
  </si>
  <si>
    <t xml:space="preserve">Rue de la Corraterie 5, 1204 Genève</t>
  </si>
  <si>
    <t xml:space="preserve">http://www.gardacp.com</t>
  </si>
  <si>
    <t xml:space="preserve">Rue de la Cité 6, 1204 Genève</t>
  </si>
  <si>
    <t xml:space="preserve">e_DRINGEND (1).pdf</t>
  </si>
  <si>
    <t xml:space="preserve">Bureau d'architecture Frédéric Glauser SA</t>
  </si>
  <si>
    <t xml:space="preserve">Mr Frédéric Glauser</t>
  </si>
  <si>
    <t xml:space="preserve">024 459 60 10</t>
  </si>
  <si>
    <t xml:space="preserve">fglauser@fglauser.ch</t>
  </si>
  <si>
    <t xml:space="preserve">Nouvelle destination des locaux</t>
  </si>
  <si>
    <t xml:space="preserve">1424 Champagne</t>
  </si>
  <si>
    <t xml:space="preserve">3422239</t>
  </si>
  <si>
    <t xml:space="preserve">Sur la Ville 6, 1443 Champvent</t>
  </si>
  <si>
    <t xml:space="preserve">http://www.fglauser.ch</t>
  </si>
  <si>
    <t xml:space="preserve">Chemin de Praz 19, 1424 Champagne</t>
  </si>
  <si>
    <t xml:space="preserve">Aménagement d'un bureau et espace de stockage pour une entreprise de sanitaire dans le box n°32.</t>
  </si>
  <si>
    <t xml:space="preserve">e_DRINGEND.pdf</t>
  </si>
  <si>
    <t xml:space="preserve">Gelmico Holding SA</t>
  </si>
  <si>
    <t xml:space="preserve">022 731 01 65</t>
  </si>
  <si>
    <t xml:space="preserve">1201 Genève</t>
  </si>
  <si>
    <t xml:space="preserve">3422827</t>
  </si>
  <si>
    <t xml:space="preserve">Route de Chêne 5, 1208 Genève</t>
  </si>
  <si>
    <t xml:space="preserve">Rue Sigismond-Thalberg 2, 1201 Genève</t>
  </si>
  <si>
    <t xml:space="preserve">Aménagement de bureaux au 1er étage.</t>
  </si>
  <si>
    <t xml:space="preserve">Atelier d'Architecture 3BM3 SA</t>
  </si>
  <si>
    <t xml:space="preserve">Mr Carmelo Stendardo</t>
  </si>
  <si>
    <t xml:space="preserve">022 708 01 80</t>
  </si>
  <si>
    <t xml:space="preserve">3bm3@3bm3.ch</t>
  </si>
  <si>
    <t xml:space="preserve">Route de Saint-Julien 5b, 1227 Carouge GE</t>
  </si>
  <si>
    <t xml:space="preserve">http://www.3bm3.ch</t>
  </si>
  <si>
    <t xml:space="preserve">Plot</t>
  </si>
  <si>
    <t xml:space="preserve">Application published</t>
  </si>
  <si>
    <t xml:space="preserve">Use</t>
  </si>
  <si>
    <t xml:space="preserve">Subcategories</t>
  </si>
  <si>
    <t xml:space="preserve">Description</t>
  </si>
  <si>
    <t xml:space="preserve">Infopro research date</t>
  </si>
  <si>
    <t xml:space="preserve">Interested / meetings / quotes</t>
  </si>
  <si>
    <t xml:space="preserve">Parc. 611, 4950</t>
  </si>
  <si>
    <t xml:space="preserve">Not relevant</t>
  </si>
  <si>
    <t xml:space="preserve">Offices (standard specification) – interior conversion</t>
  </si>
  <si>
    <t xml:space="preserve">Parc. 2361</t>
  </si>
  <si>
    <t xml:space="preserve">Offices (high specification) – interior conversion</t>
  </si>
  <si>
    <t xml:space="preserve">Parc. 3737</t>
  </si>
  <si>
    <t xml:space="preserve">Parc. 115, 1405</t>
  </si>
  <si>
    <t xml:space="preserve">Offices (high specification) – interior conversion
Restaurants – interior conversion
Restaurants – extension</t>
  </si>
  <si>
    <t xml:space="preserve">Parc. 4169</t>
  </si>
  <si>
    <t xml:space="preserve">Operational and commercial buildings – interior conversion</t>
  </si>
  <si>
    <t xml:space="preserve">Parc. 1254</t>
  </si>
  <si>
    <t xml:space="preserve">Primary and secondary schools – interior conversion</t>
  </si>
  <si>
    <t xml:space="preserve">Parc. 5419</t>
  </si>
  <si>
    <t xml:space="preserve">Offices (standard specification) – interior conversion
Offices (standard specification) – exterior conversion
Offices (standard specification) – extension</t>
  </si>
  <si>
    <t xml:space="preserve">Parc. 608</t>
  </si>
  <si>
    <t xml:space="preserve">Industrial halls – extension
Industrial halls – interior conversion
Industrial halls – exterior conversion
Offices (high specification) – interior conversion</t>
  </si>
  <si>
    <t xml:space="preserve">Parc. 5039</t>
  </si>
  <si>
    <t xml:space="preserve">Administrative buildings and data centres – interior conversion
Administrative buildings and data centres – exterior conversion
Administrative buildings and data centres – extension</t>
  </si>
  <si>
    <t xml:space="preserve">Parc. 1857</t>
  </si>
  <si>
    <t xml:space="preserve">Own use</t>
  </si>
  <si>
    <t xml:space="preserve">Shops – interior conversion
Shops – extension
Offices (high specification) – interior conversion
Offices (high specification) – extension</t>
  </si>
  <si>
    <t xml:space="preserve">Parc. 1055</t>
  </si>
  <si>
    <t xml:space="preserve">Warehouses – new build
Offices (high specification) – new build
Garages / prefabricated garages – new build</t>
  </si>
  <si>
    <t xml:space="preserve">Art. 544</t>
  </si>
  <si>
    <t xml:space="preserve">Industrial halls – interior conversion
Industrial halls – exterior conversion
Offices (standard specification) – interior conversion</t>
  </si>
  <si>
    <t xml:space="preserve">Parc. 1550</t>
  </si>
  <si>
    <t xml:space="preserve">Concert halls and theatres – interior conversion
Concert halls and theatres – exterior conversion</t>
  </si>
  <si>
    <t xml:space="preserve">Parc. 6662</t>
  </si>
  <si>
    <t xml:space="preserve">Vocational schools and universities of applied sciences – interior conversion
Vocational schools and universities of applied sciences – new build
Car parks and underground garages – exterior conversion</t>
  </si>
  <si>
    <t xml:space="preserve">Etat de Genève-Département des Finances-Office des bâtiments / Etat de Genève, Département du territoire (DT)</t>
  </si>
  <si>
    <t xml:space="preserve">Parc. 5406</t>
  </si>
  <si>
    <t xml:space="preserve">Primary and secondary schools – extension</t>
  </si>
  <si>
    <t xml:space="preserve">Parc. 1495, 1496</t>
  </si>
  <si>
    <t xml:space="preserve">Parc. 5425</t>
  </si>
  <si>
    <t xml:space="preserve">Research institutes – interior conversion
Research institutes – exterior conversion</t>
  </si>
  <si>
    <t xml:space="preserve">Parc. 3347</t>
  </si>
  <si>
    <t xml:space="preserve">Parc. 15054</t>
  </si>
  <si>
    <t xml:space="preserve">Warehouses – interior conversion
Operational and commercial buildings – interior conversion</t>
  </si>
  <si>
    <t xml:space="preserve">Parc. 1751, 1752, 1753, 1754, 1755, 1958, 1960</t>
  </si>
  <si>
    <t xml:space="preserve">Parc. 2890</t>
  </si>
  <si>
    <t xml:space="preserve">Parc. 2232, 2233</t>
  </si>
  <si>
    <t xml:space="preserve">Parc. 4997</t>
  </si>
  <si>
    <t xml:space="preserve">Offices (high specification) – interior conversion
Administrative buildings and data centres – interior conversion</t>
  </si>
  <si>
    <t xml:space="preserve">Parc. 5279</t>
  </si>
  <si>
    <t xml:space="preserve">Parc. 11756</t>
  </si>
  <si>
    <t xml:space="preserve">Parc. 6971</t>
  </si>
  <si>
    <t xml:space="preserve">Parc. 3395</t>
  </si>
  <si>
    <t xml:space="preserve">Parc. 540</t>
  </si>
  <si>
    <t xml:space="preserve">Upper secondary schools – interior conversion</t>
  </si>
  <si>
    <t xml:space="preserve">Art. 3197</t>
  </si>
  <si>
    <t xml:space="preserve">Art. 3183</t>
  </si>
  <si>
    <t xml:space="preserve">Art. 143</t>
  </si>
  <si>
    <t xml:space="preserve">Art. 448, 449</t>
  </si>
  <si>
    <t xml:space="preserve">Operational and commercial buildings – demolition
Outdoor areas, playgrounds and parks – interior conversion</t>
  </si>
  <si>
    <t xml:space="preserve">Art. 735</t>
  </si>
  <si>
    <t xml:space="preserve">Warehouses – new build
Operational and commercial buildings – new build
Offices (high specification) – new build</t>
  </si>
  <si>
    <t xml:space="preserve">Art. 6241</t>
  </si>
  <si>
    <t xml:space="preserve">Administrative buildings and data centres – interior conversion</t>
  </si>
  <si>
    <t xml:space="preserve">Parc. 18</t>
  </si>
  <si>
    <t xml:space="preserve">Art. 430</t>
  </si>
  <si>
    <t xml:space="preserve">Art. 198</t>
  </si>
  <si>
    <t xml:space="preserve">Operational and commercial buildings – extension
Sheds and huts – interior conversion
Stables and agricultural facilities – extension
Slurry pits – interior conversion
Roads – interior conversion</t>
  </si>
  <si>
    <t xml:space="preserve">Art. 173</t>
  </si>
  <si>
    <t xml:space="preserve">Art. 934</t>
  </si>
  <si>
    <t xml:space="preserve">Warehouses – new build
Operational and commercial buildings – new build
Offices (standard specification) – new build</t>
  </si>
  <si>
    <t xml:space="preserve">Art. 8020</t>
  </si>
  <si>
    <t xml:space="preserve">Offices (standard specification) – exterior conversion
Offices (high specification) – interior conversion</t>
  </si>
  <si>
    <t xml:space="preserve">Art. 92</t>
  </si>
  <si>
    <t xml:space="preserve">Art. 7606</t>
  </si>
  <si>
    <t xml:space="preserve">Universities – interior conversion
Offices (standard specification) – interior conversion</t>
  </si>
  <si>
    <t xml:space="preserve">Art. 2321</t>
  </si>
  <si>
    <t xml:space="preserve">Warehouses – new build
Industrial halls – new build
Industrial production buildings – demolition
Offices (standard specification) – new build</t>
  </si>
  <si>
    <t xml:space="preserve">Art. 17724</t>
  </si>
  <si>
    <t xml:space="preserve">Offices (standard specification) – interior conversion
Medical practices – interior conversion</t>
  </si>
  <si>
    <t xml:space="preserve">Parc. 4797</t>
  </si>
  <si>
    <t xml:space="preserve">Parc. 10753</t>
  </si>
  <si>
    <t xml:space="preserve">Parc. 3699</t>
  </si>
  <si>
    <t xml:space="preserve">Parc. 2240</t>
  </si>
  <si>
    <t xml:space="preserve">Veterinary clinics – interior conversion
Offices (standard specification) – interior conversion</t>
  </si>
  <si>
    <t xml:space="preserve">Parc. 4733</t>
  </si>
  <si>
    <t xml:space="preserve">Town halls and government buildings – interior conversion</t>
  </si>
  <si>
    <t xml:space="preserve">Parc. 6901, 6981</t>
  </si>
  <si>
    <t xml:space="preserve">Art. 2341</t>
  </si>
  <si>
    <t xml:space="preserve">Banks, post and telecom buildings – interior conversion</t>
  </si>
  <si>
    <t xml:space="preserve">Parc. 4069</t>
  </si>
  <si>
    <t xml:space="preserve">Parc. 95</t>
  </si>
  <si>
    <t xml:space="preserve">Offices (high specification) – interior conversion
Concert halls and theatres – interior conversion</t>
  </si>
  <si>
    <t xml:space="preserve">Parc. 14843</t>
  </si>
  <si>
    <t xml:space="preserve">Parc. 4590</t>
  </si>
  <si>
    <t xml:space="preserve">Art. 7115</t>
  </si>
  <si>
    <t xml:space="preserve">Parc. 11868</t>
  </si>
  <si>
    <t xml:space="preserve">Warehouses – demolition
Warehouses – new build
Offices (standard specification) – new build</t>
  </si>
  <si>
    <t xml:space="preserve">Parc. 80</t>
  </si>
  <si>
    <t xml:space="preserve">Parc. 1360</t>
  </si>
  <si>
    <t xml:space="preserve">Vocational schools and universities of applied sciences – new build</t>
  </si>
  <si>
    <t xml:space="preserve">Parc. 4358</t>
  </si>
  <si>
    <t xml:space="preserve">Parc. 12871</t>
  </si>
  <si>
    <t xml:space="preserve">Parc. 4265</t>
  </si>
  <si>
    <t xml:space="preserve">Universities – interior conversion</t>
  </si>
  <si>
    <t xml:space="preserve">Parc. 1079</t>
  </si>
  <si>
    <t xml:space="preserve">Offices (high specification) – interior conversion
Offices (high specification) – exterior conversion</t>
  </si>
  <si>
    <t xml:space="preserve">Parc. 14929</t>
  </si>
  <si>
    <t xml:space="preserve">Parc. 5996</t>
  </si>
  <si>
    <t xml:space="preserve">Offices (high specification) – interior conversion
Fitness centre / gym – interior conversion</t>
  </si>
  <si>
    <t xml:space="preserve">Parc. 4269</t>
  </si>
  <si>
    <t xml:space="preserve">Parc. 5904, 5905, 590</t>
  </si>
  <si>
    <t xml:space="preserve">Parc. 4066</t>
  </si>
  <si>
    <t xml:space="preserve">Parc. 5192</t>
  </si>
  <si>
    <t xml:space="preserve">Parc. 3893</t>
  </si>
  <si>
    <t xml:space="preserve">Parc. 1303</t>
  </si>
  <si>
    <t xml:space="preserve">Operational and commercial buildings – interior conversion
Workshops and studios – interior conversion</t>
  </si>
  <si>
    <t xml:space="preserve">Parc. 5355, 6450, 6868</t>
  </si>
  <si>
    <t xml:space="preserve">Parc. 4356</t>
  </si>
  <si>
    <t xml:space="preserve">Vocational schools and universities of applied sciences – interior conversion</t>
  </si>
  <si>
    <t xml:space="preserve">Parc. 10616, 13017</t>
  </si>
  <si>
    <t xml:space="preserve">Primary and secondary schools – interior conversion
Primary and secondary schools – extension
Primary and secondary schools – exterior conversion
Outdoor areas, playgrounds and parks – new build</t>
  </si>
  <si>
    <t xml:space="preserve">Parc. 10837</t>
  </si>
  <si>
    <t xml:space="preserve">Parc. 4076</t>
  </si>
  <si>
    <t xml:space="preserve">Parc. 4627, 4628, 6488, 7759</t>
  </si>
  <si>
    <t xml:space="preserve">Parc. 4184</t>
  </si>
  <si>
    <t xml:space="preserve">Parc. 5021, 5022</t>
  </si>
  <si>
    <t xml:space="preserve">Housing – interior conversion
Offices (high specification) – interior conversion</t>
  </si>
  <si>
    <t xml:space="preserve">Parc. 1326</t>
  </si>
  <si>
    <t xml:space="preserve">Feed stores, greenhouses and silos – new build
Stables and agricultural facilities – extension
Stables and agricultural facilities – interior conversion
Offices (standard specification) – interior conversion</t>
  </si>
  <si>
    <t xml:space="preserve">Parc. 5628</t>
  </si>
  <si>
    <t xml:space="preserve">Administrative buildings and data centres – exterior conversion
Administrative buildings and data centres – interior conversion</t>
  </si>
  <si>
    <t xml:space="preserve">Parc. 3739</t>
  </si>
  <si>
    <t xml:space="preserve">Parc. 6904</t>
  </si>
  <si>
    <t xml:space="preserve">Warehouses – interior conversion
Offices (high specification) – interior conversion</t>
  </si>
  <si>
    <t xml:space="preserve">Parc. 4035</t>
  </si>
  <si>
    <t xml:space="preserve">Parc. 2003</t>
  </si>
  <si>
    <t xml:space="preserve">Parc. 5928</t>
  </si>
  <si>
    <t xml:space="preserve">Parc. 1957</t>
  </si>
  <si>
    <t xml:space="preserve">Primary and secondary schools – interior conversion
Primary and secondary schools – exterior conversion
Offices (standard specification) – interior conversion</t>
  </si>
  <si>
    <t xml:space="preserve">Parc. 3284</t>
  </si>
  <si>
    <t xml:space="preserve">Universities – interior conversion
Offices (high specification) – interior conversion</t>
  </si>
  <si>
    <t xml:space="preserve">Parc. 903</t>
  </si>
  <si>
    <t xml:space="preserve">Parc. 2264, 5270</t>
  </si>
  <si>
    <t xml:space="preserve">Offices (standard specification) – interior conversion
Rehabilitation centres – interior conversion</t>
  </si>
  <si>
    <t xml:space="preserve">Parc. 4136</t>
  </si>
  <si>
    <t xml:space="preserve">Parc. 3279</t>
  </si>
  <si>
    <t xml:space="preserve">Parc. 292</t>
  </si>
  <si>
    <t xml:space="preserve">Administrative buildings and data centres – interior conversion
Fire stations – interior conversion</t>
  </si>
  <si>
    <t xml:space="preserve">Parc. 6925, 6927</t>
  </si>
  <si>
    <t xml:space="preserve">Parc. 1601</t>
  </si>
  <si>
    <t xml:space="preserve">Parc. 7104</t>
  </si>
  <si>
    <t xml:space="preserve">Parc. 823</t>
  </si>
  <si>
    <t xml:space="preserve">Parc. 1880</t>
  </si>
  <si>
    <t xml:space="preserve">Call result</t>
  </si>
  <si>
    <t xml:space="preserve">Priority settings</t>
  </si>
  <si>
    <t xml:space="preserve">Reached – right person</t>
  </si>
  <si>
    <t xml:space="preserve">Priority A threshold (CHF ≥)</t>
  </si>
  <si>
    <t xml:space="preserve">Priority B threshold (CHF ≥)</t>
  </si>
  <si>
    <t xml:space="preserve">Send email</t>
  </si>
  <si>
    <t xml:space="preserve">Below the B threshold → priority C</t>
  </si>
  <si>
    <t xml:space="preserve">Send brochure</t>
  </si>
  <si>
    <t xml:space="preserve">Send quote</t>
  </si>
  <si>
    <t xml:space="preserve">Suggested default thresholds (adjust as needed), based on the works value stated on the Infopro card. Editing the yellow cells recalculates the "Priority" column on the Calls sheet.</t>
  </si>
  <si>
    <t xml:space="preserve">Voicemail (message left)</t>
  </si>
  <si>
    <t xml:space="preserve">Meeting / site visit</t>
  </si>
  <si>
    <t xml:space="preserve">Voicemail (no message)</t>
  </si>
  <si>
    <t xml:space="preserve">Follow-up email</t>
  </si>
  <si>
    <t xml:space="preserve">None (closed)</t>
  </si>
  <si>
    <t xml:space="preserve">Busy</t>
  </si>
  <si>
    <t xml:space="preserve">Wrong / invalid number</t>
  </si>
</sst>
</file>

<file path=xl/styles.xml><?xml version="1.0" encoding="utf-8"?>
<styleSheet xmlns="http://schemas.openxmlformats.org/spreadsheetml/2006/main">
  <numFmts count="5">
    <numFmt numFmtId="164" formatCode="General"/>
    <numFmt numFmtId="165" formatCode="General"/>
    <numFmt numFmtId="166" formatCode="#,##0&quot; CHF&quot;"/>
    <numFmt numFmtId="167" formatCode="0%"/>
    <numFmt numFmtId="168" formatCode="dd/mm/yyyy"/>
  </numFmts>
  <fonts count="16">
    <font>
      <sz val="11"/>
      <color theme="1"/>
      <name val="Calibri"/>
      <family val="2"/>
      <charset val="1"/>
    </font>
    <font>
      <sz val="10"/>
      <name val="Arial"/>
      <family val="0"/>
    </font>
    <font>
      <sz val="10"/>
      <name val="Arial"/>
      <family val="0"/>
    </font>
    <font>
      <sz val="10"/>
      <name val="Arial"/>
      <family val="0"/>
    </font>
    <font>
      <b val="true"/>
      <sz val="16"/>
      <color rgb="FF0E3A40"/>
      <name val="Arial"/>
      <family val="0"/>
      <charset val="1"/>
    </font>
    <font>
      <i val="true"/>
      <sz val="9"/>
      <color rgb="FF5C6B6D"/>
      <name val="Arial"/>
      <family val="0"/>
      <charset val="1"/>
    </font>
    <font>
      <b val="true"/>
      <sz val="12"/>
      <color rgb="FF0E3A40"/>
      <name val="Arial"/>
      <family val="0"/>
      <charset val="1"/>
    </font>
    <font>
      <sz val="10"/>
      <name val="Arial"/>
      <family val="0"/>
      <charset val="1"/>
    </font>
    <font>
      <b val="true"/>
      <sz val="11"/>
      <color rgb="FF0E3A40"/>
      <name val="Arial"/>
      <family val="0"/>
      <charset val="1"/>
    </font>
    <font>
      <b val="true"/>
      <sz val="10"/>
      <color rgb="FFFFFFFF"/>
      <name val="Arial"/>
      <family val="0"/>
      <charset val="1"/>
    </font>
    <font>
      <b val="true"/>
      <sz val="10"/>
      <name val="Arial"/>
      <family val="0"/>
      <charset val="1"/>
    </font>
    <font>
      <b val="true"/>
      <sz val="11"/>
      <color rgb="FF9C0006"/>
      <name val="Arial"/>
      <family val="0"/>
      <charset val="1"/>
    </font>
    <font>
      <u val="single"/>
      <sz val="10"/>
      <color rgb="FF1C5F68"/>
      <name val="Arial"/>
      <family val="0"/>
      <charset val="1"/>
    </font>
    <font>
      <i val="true"/>
      <sz val="10"/>
      <color rgb="FFB4541A"/>
      <name val="Arial"/>
      <family val="0"/>
      <charset val="1"/>
    </font>
    <font>
      <sz val="10"/>
      <name val="Arial"/>
      <family val="2"/>
    </font>
    <font>
      <sz val="10"/>
      <color rgb="FF0000FF"/>
      <name val="Arial"/>
      <family val="0"/>
      <charset val="1"/>
    </font>
  </fonts>
  <fills count="6">
    <fill>
      <patternFill patternType="none"/>
    </fill>
    <fill>
      <patternFill patternType="gray125"/>
    </fill>
    <fill>
      <patternFill patternType="solid">
        <fgColor rgb="FF0E3A40"/>
        <bgColor rgb="FF333333"/>
      </patternFill>
    </fill>
    <fill>
      <patternFill patternType="solid">
        <fgColor rgb="FFFFF2CC"/>
        <bgColor rgb="FFFCE4D6"/>
      </patternFill>
    </fill>
    <fill>
      <patternFill patternType="solid">
        <fgColor rgb="FFB4541A"/>
        <bgColor rgb="FF993366"/>
      </patternFill>
    </fill>
    <fill>
      <patternFill patternType="solid">
        <fgColor rgb="FF5C6B6D"/>
        <bgColor rgb="FF808080"/>
      </patternFill>
    </fill>
  </fills>
  <borders count="3">
    <border diagonalUp="false" diagonalDown="false">
      <left/>
      <right/>
      <top/>
      <bottom/>
      <diagonal/>
    </border>
    <border diagonalUp="false" diagonalDown="false">
      <left/>
      <right/>
      <top/>
      <bottom style="thin">
        <color rgb="FFDEE5E3"/>
      </bottom>
      <diagonal/>
    </border>
    <border diagonalUp="false" diagonalDown="false">
      <left style="thin">
        <color rgb="FFDEE5E3"/>
      </left>
      <right style="thin">
        <color rgb="FFDEE5E3"/>
      </right>
      <top style="thin">
        <color rgb="FFDEE5E3"/>
      </top>
      <bottom style="thin">
        <color rgb="FFDEE5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center" vertical="top" textRotation="0" wrapText="false" indent="0" shrinkToFit="false"/>
      <protection locked="true" hidden="false"/>
    </xf>
    <xf numFmtId="164" fontId="10" fillId="0" borderId="2" xfId="0" applyFont="true" applyBorder="true" applyAlignment="true" applyProtection="false">
      <alignment horizontal="center"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false" indent="0" shrinkToFit="false"/>
      <protection locked="true" hidden="false"/>
    </xf>
    <xf numFmtId="166" fontId="7" fillId="0" borderId="2" xfId="0" applyFont="true" applyBorder="true" applyAlignment="true" applyProtection="false">
      <alignment horizontal="general" vertical="top" textRotation="0" wrapText="false" indent="0" shrinkToFit="false"/>
      <protection locked="true" hidden="false"/>
    </xf>
    <xf numFmtId="164" fontId="7" fillId="3" borderId="2" xfId="0" applyFont="true" applyBorder="true" applyAlignment="true" applyProtection="false">
      <alignment horizontal="general" vertical="top" textRotation="0" wrapText="false" indent="0" shrinkToFit="false"/>
      <protection locked="true" hidden="false"/>
    </xf>
    <xf numFmtId="164" fontId="7" fillId="3" borderId="2" xfId="0" applyFont="true" applyBorder="true" applyAlignment="true" applyProtection="false">
      <alignment horizontal="center" vertical="top" textRotation="0" wrapText="false" indent="0" shrinkToFit="false"/>
      <protection locked="true" hidden="false"/>
    </xf>
    <xf numFmtId="168" fontId="7" fillId="3" borderId="2" xfId="0" applyFont="true" applyBorder="true" applyAlignment="true" applyProtection="false">
      <alignment horizontal="general" vertical="top" textRotation="0" wrapText="fals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64" fontId="13" fillId="0" borderId="2" xfId="0" applyFont="true" applyBorder="true" applyAlignment="true" applyProtection="false">
      <alignment horizontal="general" vertical="top" textRotation="0" wrapText="false" indent="0" shrinkToFit="false"/>
      <protection locked="true" hidden="false"/>
    </xf>
    <xf numFmtId="165" fontId="7" fillId="0" borderId="2" xfId="0" applyFont="true" applyBorder="true" applyAlignment="true" applyProtection="false">
      <alignment horizontal="center" vertical="top" textRotation="0" wrapText="false" indent="0" shrinkToFit="false"/>
      <protection locked="true" hidden="false"/>
    </xf>
    <xf numFmtId="166" fontId="1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0E3A40"/>
          <bgColor rgb="FF000000"/>
        </patternFill>
      </fill>
    </dxf>
    <dxf>
      <fill>
        <patternFill patternType="solid">
          <fgColor rgb="FFF2F2F2"/>
          <bgColor rgb="FF000000"/>
        </patternFill>
      </fill>
    </dxf>
    <dxf>
      <fill>
        <patternFill patternType="solid">
          <bgColor rgb="FF000000"/>
        </patternFill>
      </fill>
    </dxf>
    <dxf>
      <fill>
        <patternFill patternType="solid">
          <fgColor rgb="FF8C8C8C"/>
          <bgColor rgb="FF000000"/>
        </patternFill>
      </fill>
    </dxf>
    <dxf>
      <fill>
        <patternFill patternType="solid">
          <fgColor rgb="FFFFFFFF"/>
          <bgColor rgb="FF000000"/>
        </patternFill>
      </fill>
    </dxf>
    <dxf>
      <fill>
        <patternFill patternType="solid">
          <fgColor rgb="FFB4541A"/>
          <bgColor rgb="FF000000"/>
        </patternFill>
      </fill>
    </dxf>
    <dxf>
      <fill>
        <patternFill patternType="solid">
          <fgColor rgb="FFFCE4D6"/>
          <bgColor rgb="FF000000"/>
        </patternFill>
      </fill>
    </dxf>
    <dxf>
      <fill>
        <patternFill patternType="solid">
          <fgColor rgb="FF1C5F68"/>
          <bgColor rgb="FF000000"/>
        </patternFill>
      </fill>
    </dxf>
    <dxf>
      <fill>
        <patternFill patternType="solid">
          <fgColor rgb="FFFFF2CC"/>
          <bgColor rgb="FF000000"/>
        </patternFill>
      </fill>
    </dxf>
    <dxf>
      <fill>
        <patternFill patternType="solid">
          <fgColor rgb="FF5C6B6D"/>
          <bgColor rgb="FF000000"/>
        </patternFill>
      </fill>
    </dxf>
    <dxf>
      <fill>
        <patternFill>
          <bgColor rgb="FFC6EFCE"/>
        </patternFill>
      </fill>
    </dxf>
    <dxf>
      <fill>
        <patternFill>
          <bgColor rgb="FFE2F0D9"/>
        </patternFill>
      </fill>
    </dxf>
    <dxf>
      <font>
        <color rgb="FF8C8C8C"/>
      </font>
      <fill>
        <patternFill>
          <bgColor rgb="FFF2F2F2"/>
        </patternFill>
      </fill>
    </dxf>
    <dxf>
      <font>
        <name val="Arial"/>
        <charset val="1"/>
        <family val="0"/>
        <b val="1"/>
        <color rgb="FF9C0006"/>
      </font>
      <fill>
        <patternFill>
          <bgColor rgb="FFFFC7CE"/>
        </patternFill>
      </fill>
    </dxf>
    <dxf>
      <font>
        <name val="Arial"/>
        <charset val="1"/>
        <family val="0"/>
        <b val="1"/>
        <color rgb="FFFFFFFF"/>
      </font>
      <fill>
        <patternFill>
          <bgColor rgb="FFB4541A"/>
        </patternFill>
      </fill>
    </dxf>
    <dxf>
      <fill>
        <patternFill>
          <bgColor rgb="FFFCE4D6"/>
        </patternFill>
      </fill>
    </dxf>
    <dxf>
      <font>
        <name val="Arial"/>
        <charset val="1"/>
        <family val="0"/>
        <b val="1"/>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C5F68"/>
      <rgbColor rgb="FF9AA5A6"/>
      <rgbColor rgb="FF808080"/>
      <rgbColor rgb="FF9999FF"/>
      <rgbColor rgb="FF993366"/>
      <rgbColor rgb="FFFFF2CC"/>
      <rgbColor rgb="FFE2F0D9"/>
      <rgbColor rgb="FF660066"/>
      <rgbColor rgb="FFFF8080"/>
      <rgbColor rgb="FF0066CC"/>
      <rgbColor rgb="FFDEE5E3"/>
      <rgbColor rgb="FF000080"/>
      <rgbColor rgb="FFFF00FF"/>
      <rgbColor rgb="FFFFFF00"/>
      <rgbColor rgb="FF00FFFF"/>
      <rgbColor rgb="FF800080"/>
      <rgbColor rgb="FF800000"/>
      <rgbColor rgb="FF008080"/>
      <rgbColor rgb="FF0000FF"/>
      <rgbColor rgb="FF00CCFF"/>
      <rgbColor rgb="FFF2F2F2"/>
      <rgbColor rgb="FFC6EFCE"/>
      <rgbColor rgb="FFFCE4D6"/>
      <rgbColor rgb="FF99CCFF"/>
      <rgbColor rgb="FFFF99CC"/>
      <rgbColor rgb="FFCC99FF"/>
      <rgbColor rgb="FFFFC7CE"/>
      <rgbColor rgb="FF3366FF"/>
      <rgbColor rgb="FF33CCCC"/>
      <rgbColor rgb="FF99CC00"/>
      <rgbColor rgb="FFFFCC00"/>
      <rgbColor rgb="FFFF9900"/>
      <rgbColor rgb="FFFF6600"/>
      <rgbColor rgb="FF5C6B6D"/>
      <rgbColor rgb="FF8C8C8C"/>
      <rgbColor rgb="FF0E3A40"/>
      <rgbColor rgb="FF339966"/>
      <rgbColor rgb="FF003300"/>
      <rgbColor rgb="FF333300"/>
      <rgbColor rgb="FFB4541A"/>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Calls" displayName="tblCalls" ref="A1:AC205" headerRowCount="1" totalsRowCount="0" totalsRowShown="0">
  <autoFilter ref="A1:AC205"/>
  <tableColumns count="29">
    <tableColumn id="1" name="PDF file"/>
    <tableColumn id="2" name="Page"/>
    <tableColumn id="3" name="Priority"/>
    <tableColumn id="4" name="Role"/>
    <tableColumn id="5" name="Company"/>
    <tableColumn id="6" name="Contact person"/>
    <tableColumn id="7" name="Phone"/>
    <tableColumn id="8" name="Email"/>
    <tableColumn id="9" name="Project"/>
    <tableColumn id="10" name="Site location"/>
    <tableColumn id="11" name="Stage"/>
    <tableColumn id="12" name="Works value (CHF)"/>
    <tableColumn id="13" name="Linked projects (same contact)"/>
    <tableColumn id="14" name="Last call result"/>
    <tableColumn id="15" name="Status"/>
    <tableColumn id="16" name="Attempts"/>
    <tableColumn id="17" name="Last call date"/>
    <tableColumn id="18" name="Next action"/>
    <tableColumn id="19" name="Follow-up date"/>
    <tableColumn id="20" name="Notes / person reached"/>
    <tableColumn id="21" name="Infopro project ref."/>
    <tableColumn id="22" name="Stage date"/>
    <tableColumn id="23" name="Contact address"/>
    <tableColumn id="24" name="Website"/>
    <tableColumn id="25" name="Site address"/>
    <tableColumn id="26" name="Category"/>
    <tableColumn id="27" name="Project description"/>
    <tableColumn id="28" name="Contact source"/>
    <tableColumn id="29" name="Duplicate"/>
  </tableColumns>
</table>
</file>

<file path=xl/tables/table2.xml><?xml version="1.0" encoding="utf-8"?>
<table xmlns="http://schemas.openxmlformats.org/spreadsheetml/2006/main" id="2" name="tblProjects" displayName="tblProjects" ref="A1:V109" headerRowCount="1" totalsRowCount="0" totalsRowShown="0">
  <autoFilter ref="A1:V109"/>
  <tableColumns count="22">
    <tableColumn id="1" name="PDF file"/>
    <tableColumn id="2" name="Page"/>
    <tableColumn id="3" name="Infopro project ref."/>
    <tableColumn id="4" name="Project"/>
    <tableColumn id="5" name="Site location"/>
    <tableColumn id="6" name="Site address"/>
    <tableColumn id="7" name="Plot"/>
    <tableColumn id="8" name="Stage"/>
    <tableColumn id="9" name="Application published"/>
    <tableColumn id="10" name="Permit granted"/>
    <tableColumn id="11" name="Works value (CHF)"/>
    <tableColumn id="12" name="Category"/>
    <tableColumn id="13" name="Use"/>
    <tableColumn id="14" name="Subcategories"/>
    <tableColumn id="15" name="Description"/>
    <tableColumn id="16" name="Infopro research date"/>
    <tableColumn id="17" name="Owner / client"/>
    <tableColumn id="18" name="Architect / planner"/>
    <tableColumn id="19" name="Contacts"/>
    <tableColumn id="20" name="Contacts reached"/>
    <tableColumn id="21" name="Interested / meetings / quotes"/>
    <tableColumn id="22" name="Duplica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tel:+41223079900" TargetMode="External"/><Relationship Id="rId3" Type="http://schemas.openxmlformats.org/officeDocument/2006/relationships/hyperlink" Target="mailto:info@yneo.ch" TargetMode="External"/><Relationship Id="rId4" Type="http://schemas.openxmlformats.org/officeDocument/2006/relationships/hyperlink" Target="http://www.yneo.ch/" TargetMode="External"/><Relationship Id="rId5" Type="http://schemas.openxmlformats.org/officeDocument/2006/relationships/hyperlink" Target="tel:+41228698844" TargetMode="External"/><Relationship Id="rId6" Type="http://schemas.openxmlformats.org/officeDocument/2006/relationships/hyperlink" Target="mailto:admin@tjca.ch" TargetMode="External"/><Relationship Id="rId7" Type="http://schemas.openxmlformats.org/officeDocument/2006/relationships/hyperlink" Target="http://www.tjca.ch/" TargetMode="External"/><Relationship Id="rId8" Type="http://schemas.openxmlformats.org/officeDocument/2006/relationships/hyperlink" Target="tel:+41583322600" TargetMode="External"/><Relationship Id="rId9" Type="http://schemas.openxmlformats.org/officeDocument/2006/relationships/hyperlink" Target="mailto:geneve@rundstedt.ch" TargetMode="External"/><Relationship Id="rId10" Type="http://schemas.openxmlformats.org/officeDocument/2006/relationships/hyperlink" Target="http://www.rundstedt.ch/" TargetMode="External"/><Relationship Id="rId11" Type="http://schemas.openxmlformats.org/officeDocument/2006/relationships/hyperlink" Target="tel:+41227070070" TargetMode="External"/><Relationship Id="rId12" Type="http://schemas.openxmlformats.org/officeDocument/2006/relationships/hyperlink" Target="mailto:projets@ris-partenaires.ch" TargetMode="External"/><Relationship Id="rId13" Type="http://schemas.openxmlformats.org/officeDocument/2006/relationships/hyperlink" Target="http://www.ris-partenaires.ch/" TargetMode="External"/><Relationship Id="rId14" Type="http://schemas.openxmlformats.org/officeDocument/2006/relationships/hyperlink" Target="tel:+41218049640" TargetMode="External"/><Relationship Id="rId15" Type="http://schemas.openxmlformats.org/officeDocument/2006/relationships/hyperlink" Target="mailto:greffe@morges.ch" TargetMode="External"/><Relationship Id="rId16" Type="http://schemas.openxmlformats.org/officeDocument/2006/relationships/hyperlink" Target="tel:+41218111010" TargetMode="External"/><Relationship Id="rId17" Type="http://schemas.openxmlformats.org/officeDocument/2006/relationships/hyperlink" Target="mailto:info@farch.ch" TargetMode="External"/><Relationship Id="rId18" Type="http://schemas.openxmlformats.org/officeDocument/2006/relationships/hyperlink" Target="http://www.farch.ch/" TargetMode="External"/><Relationship Id="rId19" Type="http://schemas.openxmlformats.org/officeDocument/2006/relationships/hyperlink" Target="tel:+41265642020" TargetMode="External"/><Relationship Id="rId20" Type="http://schemas.openxmlformats.org/officeDocument/2006/relationships/hyperlink" Target="mailto:info@doutaz-architecture.ch" TargetMode="External"/><Relationship Id="rId21" Type="http://schemas.openxmlformats.org/officeDocument/2006/relationships/hyperlink" Target="http://www.doutaz-sa.ch/" TargetMode="External"/><Relationship Id="rId22" Type="http://schemas.openxmlformats.org/officeDocument/2006/relationships/hyperlink" Target="tel:+41223041030" TargetMode="External"/><Relationship Id="rId23" Type="http://schemas.openxmlformats.org/officeDocument/2006/relationships/hyperlink" Target="mailto:info@hiag.com" TargetMode="External"/><Relationship Id="rId24" Type="http://schemas.openxmlformats.org/officeDocument/2006/relationships/hyperlink" Target="http://www.hiag.com/" TargetMode="External"/><Relationship Id="rId25" Type="http://schemas.openxmlformats.org/officeDocument/2006/relationships/hyperlink" Target="tel:+41774035258" TargetMode="External"/><Relationship Id="rId26" Type="http://schemas.openxmlformats.org/officeDocument/2006/relationships/hyperlink" Target="mailto:archi@studio116.ch" TargetMode="External"/><Relationship Id="rId27" Type="http://schemas.openxmlformats.org/officeDocument/2006/relationships/hyperlink" Target="tel:+41213154949" TargetMode="External"/><Relationship Id="rId28" Type="http://schemas.openxmlformats.org/officeDocument/2006/relationships/hyperlink" Target="tel:+41797743947" TargetMode="External"/><Relationship Id="rId29" Type="http://schemas.openxmlformats.org/officeDocument/2006/relationships/hyperlink" Target="mailto:info@bcarre.ch" TargetMode="External"/><Relationship Id="rId30" Type="http://schemas.openxmlformats.org/officeDocument/2006/relationships/hyperlink" Target="http://www.bcarre.ch/" TargetMode="External"/><Relationship Id="rId31" Type="http://schemas.openxmlformats.org/officeDocument/2006/relationships/hyperlink" Target="tel:+41794101453" TargetMode="External"/><Relationship Id="rId32" Type="http://schemas.openxmlformats.org/officeDocument/2006/relationships/hyperlink" Target="tel:+41227308111" TargetMode="External"/><Relationship Id="rId33" Type="http://schemas.openxmlformats.org/officeDocument/2006/relationships/hyperlink" Target="mailto:wmo@wmo.int" TargetMode="External"/><Relationship Id="rId34" Type="http://schemas.openxmlformats.org/officeDocument/2006/relationships/hyperlink" Target="http://www.wmo.int/" TargetMode="External"/><Relationship Id="rId35" Type="http://schemas.openxmlformats.org/officeDocument/2006/relationships/hyperlink" Target="tel:+41227820540" TargetMode="External"/><Relationship Id="rId36" Type="http://schemas.openxmlformats.org/officeDocument/2006/relationships/hyperlink" Target="mailto:architectes-ch@groupe-h.com" TargetMode="External"/><Relationship Id="rId37" Type="http://schemas.openxmlformats.org/officeDocument/2006/relationships/hyperlink" Target="http://www.groupe-h.com/" TargetMode="External"/><Relationship Id="rId38" Type="http://schemas.openxmlformats.org/officeDocument/2006/relationships/hyperlink" Target="tel:+41779852964" TargetMode="External"/><Relationship Id="rId39" Type="http://schemas.openxmlformats.org/officeDocument/2006/relationships/hyperlink" Target="mailto:info@ahdarchitecture.ch" TargetMode="External"/><Relationship Id="rId40" Type="http://schemas.openxmlformats.org/officeDocument/2006/relationships/hyperlink" Target="tel:+41794505278" TargetMode="External"/><Relationship Id="rId41" Type="http://schemas.openxmlformats.org/officeDocument/2006/relationships/hyperlink" Target="mailto:info@top-stores.ch" TargetMode="External"/><Relationship Id="rId42" Type="http://schemas.openxmlformats.org/officeDocument/2006/relationships/hyperlink" Target="http://www.top-stores.ch/" TargetMode="External"/><Relationship Id="rId43" Type="http://schemas.openxmlformats.org/officeDocument/2006/relationships/hyperlink" Target="tel:+41324221523" TargetMode="External"/><Relationship Id="rId44" Type="http://schemas.openxmlformats.org/officeDocument/2006/relationships/hyperlink" Target="mailto:info@gcomte.ch" TargetMode="External"/><Relationship Id="rId45" Type="http://schemas.openxmlformats.org/officeDocument/2006/relationships/hyperlink" Target="http://www.360-comtesa.ch/" TargetMode="External"/><Relationship Id="rId46" Type="http://schemas.openxmlformats.org/officeDocument/2006/relationships/hyperlink" Target="tel:+41266732174" TargetMode="External"/><Relationship Id="rId47" Type="http://schemas.openxmlformats.org/officeDocument/2006/relationships/hyperlink" Target="mailto:info@braumann.ch" TargetMode="External"/><Relationship Id="rId48" Type="http://schemas.openxmlformats.org/officeDocument/2006/relationships/hyperlink" Target="http://www.braumann.ch/" TargetMode="External"/><Relationship Id="rId49" Type="http://schemas.openxmlformats.org/officeDocument/2006/relationships/hyperlink" Target="tel:+41266730363" TargetMode="External"/><Relationship Id="rId50" Type="http://schemas.openxmlformats.org/officeDocument/2006/relationships/hyperlink" Target="mailto:info@aparchitectes.ch" TargetMode="External"/><Relationship Id="rId51" Type="http://schemas.openxmlformats.org/officeDocument/2006/relationships/hyperlink" Target="http://www.atelierpulver.ch/" TargetMode="External"/><Relationship Id="rId52" Type="http://schemas.openxmlformats.org/officeDocument/2006/relationships/hyperlink" Target="tel:+41227321594" TargetMode="External"/><Relationship Id="rId53" Type="http://schemas.openxmlformats.org/officeDocument/2006/relationships/hyperlink" Target="tel:+41227321594" TargetMode="External"/><Relationship Id="rId54" Type="http://schemas.openxmlformats.org/officeDocument/2006/relationships/hyperlink" Target="mailto:info@balansemadeni.ch" TargetMode="External"/><Relationship Id="rId55" Type="http://schemas.openxmlformats.org/officeDocument/2006/relationships/hyperlink" Target="http://www.balansemadeni.ch/" TargetMode="External"/><Relationship Id="rId56" Type="http://schemas.openxmlformats.org/officeDocument/2006/relationships/hyperlink" Target="tel:+41225466215" TargetMode="External"/><Relationship Id="rId57" Type="http://schemas.openxmlformats.org/officeDocument/2006/relationships/hyperlink" Target="mailto:infodcti@etat.ge.ch" TargetMode="External"/><Relationship Id="rId58" Type="http://schemas.openxmlformats.org/officeDocument/2006/relationships/hyperlink" Target="http://www.ge.ch/" TargetMode="External"/><Relationship Id="rId59" Type="http://schemas.openxmlformats.org/officeDocument/2006/relationships/hyperlink" Target="tel:+41225466200" TargetMode="External"/><Relationship Id="rId60" Type="http://schemas.openxmlformats.org/officeDocument/2006/relationships/hyperlink" Target="mailto:ocbasac-marchespublics@etat.ge.ch" TargetMode="External"/><Relationship Id="rId61" Type="http://schemas.openxmlformats.org/officeDocument/2006/relationships/hyperlink" Target="http://www.ge.ch/" TargetMode="External"/><Relationship Id="rId62" Type="http://schemas.openxmlformats.org/officeDocument/2006/relationships/hyperlink" Target="tel:+41225465390" TargetMode="External"/><Relationship Id="rId63" Type="http://schemas.openxmlformats.org/officeDocument/2006/relationships/hyperlink" Target="tel:+41227975050" TargetMode="External"/><Relationship Id="rId64" Type="http://schemas.openxmlformats.org/officeDocument/2006/relationships/hyperlink" Target="tel:+41228393939" TargetMode="External"/><Relationship Id="rId65" Type="http://schemas.openxmlformats.org/officeDocument/2006/relationships/hyperlink" Target="http://www.naef.ch/" TargetMode="External"/><Relationship Id="rId66" Type="http://schemas.openxmlformats.org/officeDocument/2006/relationships/hyperlink" Target="tel:+41228393778" TargetMode="External"/><Relationship Id="rId67" Type="http://schemas.openxmlformats.org/officeDocument/2006/relationships/hyperlink" Target="mailto:info@alios-sa.ch" TargetMode="External"/><Relationship Id="rId68" Type="http://schemas.openxmlformats.org/officeDocument/2006/relationships/hyperlink" Target="http://www.alios-sa.ch/" TargetMode="External"/><Relationship Id="rId69" Type="http://schemas.openxmlformats.org/officeDocument/2006/relationships/hyperlink" Target="tel:+41225466200" TargetMode="External"/><Relationship Id="rId70" Type="http://schemas.openxmlformats.org/officeDocument/2006/relationships/hyperlink" Target="mailto:ocbasac-marchespublics@etat.ge.ch" TargetMode="External"/><Relationship Id="rId71" Type="http://schemas.openxmlformats.org/officeDocument/2006/relationships/hyperlink" Target="http://www.ge.ch/" TargetMode="External"/><Relationship Id="rId72" Type="http://schemas.openxmlformats.org/officeDocument/2006/relationships/hyperlink" Target="tel:+41228276200" TargetMode="External"/><Relationship Id="rId73" Type="http://schemas.openxmlformats.org/officeDocument/2006/relationships/hyperlink" Target="mailto:contact@glaucolombardi.ch" TargetMode="External"/><Relationship Id="rId74" Type="http://schemas.openxmlformats.org/officeDocument/2006/relationships/hyperlink" Target="http://www.glaucolombardi.ch/" TargetMode="External"/><Relationship Id="rId75" Type="http://schemas.openxmlformats.org/officeDocument/2006/relationships/hyperlink" Target="tel:+41224205200" TargetMode="External"/><Relationship Id="rId76" Type="http://schemas.openxmlformats.org/officeDocument/2006/relationships/hyperlink" Target="mailto:contact@hospicegeneral.ch" TargetMode="External"/><Relationship Id="rId77" Type="http://schemas.openxmlformats.org/officeDocument/2006/relationships/hyperlink" Target="http://www.hospicegeneral.ch/" TargetMode="External"/><Relationship Id="rId78" Type="http://schemas.openxmlformats.org/officeDocument/2006/relationships/hyperlink" Target="tel:+41225756120" TargetMode="External"/><Relationship Id="rId79" Type="http://schemas.openxmlformats.org/officeDocument/2006/relationships/hyperlink" Target="mailto:info@bkst-architectes.ch" TargetMode="External"/><Relationship Id="rId80" Type="http://schemas.openxmlformats.org/officeDocument/2006/relationships/hyperlink" Target="http://www.bkst-architectes.ch/" TargetMode="External"/><Relationship Id="rId81" Type="http://schemas.openxmlformats.org/officeDocument/2006/relationships/hyperlink" Target="tel:+41223723311" TargetMode="External"/><Relationship Id="rId82" Type="http://schemas.openxmlformats.org/officeDocument/2006/relationships/hyperlink" Target="http://www.hug-ge.ch/" TargetMode="External"/><Relationship Id="rId83" Type="http://schemas.openxmlformats.org/officeDocument/2006/relationships/hyperlink" Target="tel:+41446255757" TargetMode="External"/><Relationship Id="rId84" Type="http://schemas.openxmlformats.org/officeDocument/2006/relationships/hyperlink" Target="mailto:zuerich@psp.info" TargetMode="External"/><Relationship Id="rId85" Type="http://schemas.openxmlformats.org/officeDocument/2006/relationships/hyperlink" Target="http://www.psp.info/" TargetMode="External"/><Relationship Id="rId86" Type="http://schemas.openxmlformats.org/officeDocument/2006/relationships/hyperlink" Target="tel:+41227380933" TargetMode="External"/><Relationship Id="rId87" Type="http://schemas.openxmlformats.org/officeDocument/2006/relationships/hyperlink" Target="mailto:atelier.g.a@bluewin.ch" TargetMode="External"/><Relationship Id="rId88" Type="http://schemas.openxmlformats.org/officeDocument/2006/relationships/hyperlink" Target="http://www.belloyurdakul.ch/" TargetMode="External"/><Relationship Id="rId89" Type="http://schemas.openxmlformats.org/officeDocument/2006/relationships/hyperlink" Target="tel:+41588227000" TargetMode="External"/><Relationship Id="rId90" Type="http://schemas.openxmlformats.org/officeDocument/2006/relationships/hyperlink" Target="mailto:patricia.tirvaudey@labcorp.com" TargetMode="External"/><Relationship Id="rId91" Type="http://schemas.openxmlformats.org/officeDocument/2006/relationships/hyperlink" Target="http://www.labcorp.com/" TargetMode="External"/><Relationship Id="rId92" Type="http://schemas.openxmlformats.org/officeDocument/2006/relationships/hyperlink" Target="tel:+41225929240" TargetMode="External"/><Relationship Id="rId93" Type="http://schemas.openxmlformats.org/officeDocument/2006/relationships/hyperlink" Target="http://www.ds-ar.ch/" TargetMode="External"/><Relationship Id="rId94" Type="http://schemas.openxmlformats.org/officeDocument/2006/relationships/hyperlink" Target="tel:+41227378989" TargetMode="External"/><Relationship Id="rId95" Type="http://schemas.openxmlformats.org/officeDocument/2006/relationships/hyperlink" Target="mailto:sfer@fidusfer.ch" TargetMode="External"/><Relationship Id="rId96" Type="http://schemas.openxmlformats.org/officeDocument/2006/relationships/hyperlink" Target="http://www.fidusfer.ch/" TargetMode="External"/><Relationship Id="rId97" Type="http://schemas.openxmlformats.org/officeDocument/2006/relationships/hyperlink" Target="tel:+41227370707" TargetMode="External"/><Relationship Id="rId98" Type="http://schemas.openxmlformats.org/officeDocument/2006/relationships/hyperlink" Target="mailto:architectes@cerutti.net" TargetMode="External"/><Relationship Id="rId99" Type="http://schemas.openxmlformats.org/officeDocument/2006/relationships/hyperlink" Target="http://www.cerutti.net/" TargetMode="External"/><Relationship Id="rId100" Type="http://schemas.openxmlformats.org/officeDocument/2006/relationships/hyperlink" Target="tel:+41584557777" TargetMode="External"/><Relationship Id="rId101" Type="http://schemas.openxmlformats.org/officeDocument/2006/relationships/hyperlink" Target="tel:+41244202226" TargetMode="External"/><Relationship Id="rId102" Type="http://schemas.openxmlformats.org/officeDocument/2006/relationships/hyperlink" Target="mailto:vaud@gammasa.ch" TargetMode="External"/><Relationship Id="rId103" Type="http://schemas.openxmlformats.org/officeDocument/2006/relationships/hyperlink" Target="http://www.gammasa.ch/" TargetMode="External"/><Relationship Id="rId104" Type="http://schemas.openxmlformats.org/officeDocument/2006/relationships/hyperlink" Target="tel:+41227070800" TargetMode="External"/><Relationship Id="rId105" Type="http://schemas.openxmlformats.org/officeDocument/2006/relationships/hyperlink" Target="mailto:info@argecil.ch" TargetMode="External"/><Relationship Id="rId106" Type="http://schemas.openxmlformats.org/officeDocument/2006/relationships/hyperlink" Target="http://www.argecil.ch/" TargetMode="External"/><Relationship Id="rId107" Type="http://schemas.openxmlformats.org/officeDocument/2006/relationships/hyperlink" Target="tel:+41223439441" TargetMode="External"/><Relationship Id="rId108" Type="http://schemas.openxmlformats.org/officeDocument/2006/relationships/hyperlink" Target="mailto:contact@strausak.com" TargetMode="External"/><Relationship Id="rId109" Type="http://schemas.openxmlformats.org/officeDocument/2006/relationships/hyperlink" Target="http://www.strausak.com/" TargetMode="External"/><Relationship Id="rId110" Type="http://schemas.openxmlformats.org/officeDocument/2006/relationships/hyperlink" Target="tel:+41228099700" TargetMode="External"/><Relationship Id="rId111" Type="http://schemas.openxmlformats.org/officeDocument/2006/relationships/hyperlink" Target="mailto:info@figestor.com" TargetMode="External"/><Relationship Id="rId112" Type="http://schemas.openxmlformats.org/officeDocument/2006/relationships/hyperlink" Target="http://www.figestor.com/" TargetMode="External"/><Relationship Id="rId113" Type="http://schemas.openxmlformats.org/officeDocument/2006/relationships/hyperlink" Target="tel:+41228846400" TargetMode="External"/><Relationship Id="rId114" Type="http://schemas.openxmlformats.org/officeDocument/2006/relationships/hyperlink" Target="mailto:mairie@plan-les-ouates.ch" TargetMode="External"/><Relationship Id="rId115" Type="http://schemas.openxmlformats.org/officeDocument/2006/relationships/hyperlink" Target="http://www.plan-les-ouates.ch/" TargetMode="External"/><Relationship Id="rId116" Type="http://schemas.openxmlformats.org/officeDocument/2006/relationships/hyperlink" Target="tel:+41228393939" TargetMode="External"/><Relationship Id="rId117" Type="http://schemas.openxmlformats.org/officeDocument/2006/relationships/hyperlink" Target="mailto:geneve@naef.ch" TargetMode="External"/><Relationship Id="rId118" Type="http://schemas.openxmlformats.org/officeDocument/2006/relationships/hyperlink" Target="http://www.naef.ch/" TargetMode="External"/><Relationship Id="rId119" Type="http://schemas.openxmlformats.org/officeDocument/2006/relationships/hyperlink" Target="tel:+41228509393" TargetMode="External"/><Relationship Id="rId120" Type="http://schemas.openxmlformats.org/officeDocument/2006/relationships/hyperlink" Target="mailto:info@confignon.ch" TargetMode="External"/><Relationship Id="rId121" Type="http://schemas.openxmlformats.org/officeDocument/2006/relationships/hyperlink" Target="http://www.confignon.ch/" TargetMode="External"/><Relationship Id="rId122" Type="http://schemas.openxmlformats.org/officeDocument/2006/relationships/hyperlink" Target="tel:+41223403151" TargetMode="External"/><Relationship Id="rId123" Type="http://schemas.openxmlformats.org/officeDocument/2006/relationships/hyperlink" Target="mailto:mcbd@mcbd.ch" TargetMode="External"/><Relationship Id="rId124" Type="http://schemas.openxmlformats.org/officeDocument/2006/relationships/hyperlink" Target="http://www.mcbd.ch/" TargetMode="External"/><Relationship Id="rId125" Type="http://schemas.openxmlformats.org/officeDocument/2006/relationships/hyperlink" Target="tel:+41227374200" TargetMode="External"/><Relationship Id="rId126" Type="http://schemas.openxmlformats.org/officeDocument/2006/relationships/hyperlink" Target="http://www.ksandt.com/" TargetMode="External"/><Relationship Id="rId127" Type="http://schemas.openxmlformats.org/officeDocument/2006/relationships/hyperlink" Target="tel:+41228698844" TargetMode="External"/><Relationship Id="rId128" Type="http://schemas.openxmlformats.org/officeDocument/2006/relationships/hyperlink" Target="mailto:admin@tjca.ch" TargetMode="External"/><Relationship Id="rId129" Type="http://schemas.openxmlformats.org/officeDocument/2006/relationships/hyperlink" Target="http://www.tjca.ch/" TargetMode="External"/><Relationship Id="rId130" Type="http://schemas.openxmlformats.org/officeDocument/2006/relationships/hyperlink" Target="tel:+41328896480" TargetMode="External"/><Relationship Id="rId131" Type="http://schemas.openxmlformats.org/officeDocument/2006/relationships/hyperlink" Target="mailto:service.batiments@ne.ch" TargetMode="External"/><Relationship Id="rId132" Type="http://schemas.openxmlformats.org/officeDocument/2006/relationships/hyperlink" Target="http://www.ne.ch/" TargetMode="External"/><Relationship Id="rId133" Type="http://schemas.openxmlformats.org/officeDocument/2006/relationships/hyperlink" Target="tel:+41229609111" TargetMode="External"/><Relationship Id="rId134" Type="http://schemas.openxmlformats.org/officeDocument/2006/relationships/hyperlink" Target="mailto:reception.chat@ecolint.ch" TargetMode="External"/><Relationship Id="rId135" Type="http://schemas.openxmlformats.org/officeDocument/2006/relationships/hyperlink" Target="http://www.ecolint.ch/" TargetMode="External"/><Relationship Id="rId136" Type="http://schemas.openxmlformats.org/officeDocument/2006/relationships/hyperlink" Target="tel:+41227876000" TargetMode="External"/><Relationship Id="rId137" Type="http://schemas.openxmlformats.org/officeDocument/2006/relationships/hyperlink" Target="mailto:info@syllawidmann.ch" TargetMode="External"/><Relationship Id="rId138" Type="http://schemas.openxmlformats.org/officeDocument/2006/relationships/hyperlink" Target="http://www.syllawidmann.ch/" TargetMode="External"/><Relationship Id="rId139" Type="http://schemas.openxmlformats.org/officeDocument/2006/relationships/hyperlink" Target="tel:+41415627159" TargetMode="External"/><Relationship Id="rId140" Type="http://schemas.openxmlformats.org/officeDocument/2006/relationships/hyperlink" Target="mailto:hello@enshift.com" TargetMode="External"/><Relationship Id="rId141" Type="http://schemas.openxmlformats.org/officeDocument/2006/relationships/hyperlink" Target="http://www.enshift.com/" TargetMode="External"/><Relationship Id="rId142" Type="http://schemas.openxmlformats.org/officeDocument/2006/relationships/hyperlink" Target="tel:+41415627159" TargetMode="External"/><Relationship Id="rId143" Type="http://schemas.openxmlformats.org/officeDocument/2006/relationships/hyperlink" Target="mailto:hello@enshift.com" TargetMode="External"/><Relationship Id="rId144" Type="http://schemas.openxmlformats.org/officeDocument/2006/relationships/hyperlink" Target="http://www.enshift.com/" TargetMode="External"/><Relationship Id="rId145" Type="http://schemas.openxmlformats.org/officeDocument/2006/relationships/hyperlink" Target="tel:+41782042313" TargetMode="External"/><Relationship Id="rId146" Type="http://schemas.openxmlformats.org/officeDocument/2006/relationships/hyperlink" Target="mailto:carlosbarros@basilar.ch" TargetMode="External"/><Relationship Id="rId147" Type="http://schemas.openxmlformats.org/officeDocument/2006/relationships/hyperlink" Target="tel:+41439316111" TargetMode="External"/><Relationship Id="rId148" Type="http://schemas.openxmlformats.org/officeDocument/2006/relationships/hyperlink" Target="mailto:info@skyguide.ch" TargetMode="External"/><Relationship Id="rId149" Type="http://schemas.openxmlformats.org/officeDocument/2006/relationships/hyperlink" Target="http://www.skyguide.ch/" TargetMode="External"/><Relationship Id="rId150" Type="http://schemas.openxmlformats.org/officeDocument/2006/relationships/hyperlink" Target="tel:+41264941925" TargetMode="External"/><Relationship Id="rId151" Type="http://schemas.openxmlformats.org/officeDocument/2006/relationships/hyperlink" Target="mailto:tafers@geoplaning.ch" TargetMode="External"/><Relationship Id="rId152" Type="http://schemas.openxmlformats.org/officeDocument/2006/relationships/hyperlink" Target="http://www.bkgeoservice.ch/" TargetMode="External"/><Relationship Id="rId153" Type="http://schemas.openxmlformats.org/officeDocument/2006/relationships/hyperlink" Target="tel:+41317440000" TargetMode="External"/><Relationship Id="rId154" Type="http://schemas.openxmlformats.org/officeDocument/2006/relationships/hyperlink" Target="mailto:info@ramseyer.ch" TargetMode="External"/><Relationship Id="rId155" Type="http://schemas.openxmlformats.org/officeDocument/2006/relationships/hyperlink" Target="http://www.ramseyer.ch/" TargetMode="External"/><Relationship Id="rId156" Type="http://schemas.openxmlformats.org/officeDocument/2006/relationships/hyperlink" Target="tel:+41318388080" TargetMode="External"/><Relationship Id="rId157" Type="http://schemas.openxmlformats.org/officeDocument/2006/relationships/hyperlink" Target="mailto:info@ans-architekten.ch" TargetMode="External"/><Relationship Id="rId158" Type="http://schemas.openxmlformats.org/officeDocument/2006/relationships/hyperlink" Target="http://www.ans-architekten.ch/" TargetMode="External"/><Relationship Id="rId159" Type="http://schemas.openxmlformats.org/officeDocument/2006/relationships/hyperlink" Target="tel:+41263053793" TargetMode="External"/><Relationship Id="rId160" Type="http://schemas.openxmlformats.org/officeDocument/2006/relationships/hyperlink" Target="tel:+41223229222" TargetMode="External"/><Relationship Id="rId161" Type="http://schemas.openxmlformats.org/officeDocument/2006/relationships/hyperlink" Target="mailto:service@pilet-renaud.ch" TargetMode="External"/><Relationship Id="rId162" Type="http://schemas.openxmlformats.org/officeDocument/2006/relationships/hyperlink" Target="http://www.pilet-renaud.ch/" TargetMode="External"/><Relationship Id="rId163" Type="http://schemas.openxmlformats.org/officeDocument/2006/relationships/hyperlink" Target="tel:+41266519070" TargetMode="External"/><Relationship Id="rId164" Type="http://schemas.openxmlformats.org/officeDocument/2006/relationships/hyperlink" Target="mailto:amr@menetrey-lift.ch" TargetMode="External"/><Relationship Id="rId165" Type="http://schemas.openxmlformats.org/officeDocument/2006/relationships/hyperlink" Target="http://www.menetrey-lift.ch/" TargetMode="External"/><Relationship Id="rId166" Type="http://schemas.openxmlformats.org/officeDocument/2006/relationships/hyperlink" Target="mailto:info@index-ar.ch" TargetMode="External"/><Relationship Id="rId167" Type="http://schemas.openxmlformats.org/officeDocument/2006/relationships/hyperlink" Target="http://www.index-ar.ch/" TargetMode="External"/><Relationship Id="rId168" Type="http://schemas.openxmlformats.org/officeDocument/2006/relationships/hyperlink" Target="tel:+41266519070" TargetMode="External"/><Relationship Id="rId169" Type="http://schemas.openxmlformats.org/officeDocument/2006/relationships/hyperlink" Target="mailto:amr@menetrey-lift.ch" TargetMode="External"/><Relationship Id="rId170" Type="http://schemas.openxmlformats.org/officeDocument/2006/relationships/hyperlink" Target="http://www.menetrey-lift.ch/" TargetMode="External"/><Relationship Id="rId171" Type="http://schemas.openxmlformats.org/officeDocument/2006/relationships/hyperlink" Target="mailto:info@index-ar.ch" TargetMode="External"/><Relationship Id="rId172" Type="http://schemas.openxmlformats.org/officeDocument/2006/relationships/hyperlink" Target="http://www.index-ar.ch/" TargetMode="External"/><Relationship Id="rId173" Type="http://schemas.openxmlformats.org/officeDocument/2006/relationships/hyperlink" Target="tel:+41266523672" TargetMode="External"/><Relationship Id="rId174" Type="http://schemas.openxmlformats.org/officeDocument/2006/relationships/hyperlink" Target="mailto:daniel.bard@bluewin.ch" TargetMode="External"/><Relationship Id="rId175" Type="http://schemas.openxmlformats.org/officeDocument/2006/relationships/hyperlink" Target="tel:+41263055500" TargetMode="External"/><Relationship Id="rId176" Type="http://schemas.openxmlformats.org/officeDocument/2006/relationships/hyperlink" Target="http://www.grangeneuve.ch/" TargetMode="External"/><Relationship Id="rId177" Type="http://schemas.openxmlformats.org/officeDocument/2006/relationships/hyperlink" Target="tel:+41266529191" TargetMode="External"/><Relationship Id="rId178" Type="http://schemas.openxmlformats.org/officeDocument/2006/relationships/hyperlink" Target="mailto:admin@modulesa.ch" TargetMode="External"/><Relationship Id="rId179" Type="http://schemas.openxmlformats.org/officeDocument/2006/relationships/hyperlink" Target="http://www.modulesa.ch/" TargetMode="External"/><Relationship Id="rId180" Type="http://schemas.openxmlformats.org/officeDocument/2006/relationships/hyperlink" Target="tel:+41782409947" TargetMode="External"/><Relationship Id="rId181" Type="http://schemas.openxmlformats.org/officeDocument/2006/relationships/hyperlink" Target="mailto:info@od-archi.ch" TargetMode="External"/><Relationship Id="rId182" Type="http://schemas.openxmlformats.org/officeDocument/2006/relationships/hyperlink" Target="http://www.od-archi.ch/" TargetMode="External"/><Relationship Id="rId183" Type="http://schemas.openxmlformats.org/officeDocument/2006/relationships/hyperlink" Target="tel:+41263517504" TargetMode="External"/><Relationship Id="rId184" Type="http://schemas.openxmlformats.org/officeDocument/2006/relationships/hyperlink" Target="mailto:genie.civil@ville-fr.ch" TargetMode="External"/><Relationship Id="rId185" Type="http://schemas.openxmlformats.org/officeDocument/2006/relationships/hyperlink" Target="http://www.ville-fribourg.ch/" TargetMode="External"/><Relationship Id="rId186" Type="http://schemas.openxmlformats.org/officeDocument/2006/relationships/hyperlink" Target="tel:+41266751254" TargetMode="External"/><Relationship Id="rId187" Type="http://schemas.openxmlformats.org/officeDocument/2006/relationships/hyperlink" Target="mailto:borgognon.architecture@gmail.com" TargetMode="External"/><Relationship Id="rId188" Type="http://schemas.openxmlformats.org/officeDocument/2006/relationships/hyperlink" Target="tel:+41263053784" TargetMode="External"/><Relationship Id="rId189" Type="http://schemas.openxmlformats.org/officeDocument/2006/relationships/hyperlink" Target="mailto:sbat@fr.ch" TargetMode="External"/><Relationship Id="rId190" Type="http://schemas.openxmlformats.org/officeDocument/2006/relationships/hyperlink" Target="http://www.fr.ch/sbat" TargetMode="External"/><Relationship Id="rId191" Type="http://schemas.openxmlformats.org/officeDocument/2006/relationships/hyperlink" Target="tel:+41313811257" TargetMode="External"/><Relationship Id="rId192" Type="http://schemas.openxmlformats.org/officeDocument/2006/relationships/hyperlink" Target="mailto:buero@maeder-stooss.ch" TargetMode="External"/><Relationship Id="rId193" Type="http://schemas.openxmlformats.org/officeDocument/2006/relationships/hyperlink" Target="http://www.maeder-stooss.ch/" TargetMode="External"/><Relationship Id="rId194" Type="http://schemas.openxmlformats.org/officeDocument/2006/relationships/hyperlink" Target="tel:+41265653878" TargetMode="External"/><Relationship Id="rId195" Type="http://schemas.openxmlformats.org/officeDocument/2006/relationships/hyperlink" Target="mailto:contact@tinguely-architectes.ch" TargetMode="External"/><Relationship Id="rId196" Type="http://schemas.openxmlformats.org/officeDocument/2006/relationships/hyperlink" Target="http://www.tinguely-architectes.ch/" TargetMode="External"/><Relationship Id="rId197" Type="http://schemas.openxmlformats.org/officeDocument/2006/relationships/hyperlink" Target="tel:+41213312800" TargetMode="External"/><Relationship Id="rId198" Type="http://schemas.openxmlformats.org/officeDocument/2006/relationships/hyperlink" Target="mailto:gestion@cronosfinance.ch" TargetMode="External"/><Relationship Id="rId199" Type="http://schemas.openxmlformats.org/officeDocument/2006/relationships/hyperlink" Target="http://www.cronosfinance.ch/" TargetMode="External"/><Relationship Id="rId200" Type="http://schemas.openxmlformats.org/officeDocument/2006/relationships/hyperlink" Target="tel:+41264248855" TargetMode="External"/><Relationship Id="rId201" Type="http://schemas.openxmlformats.org/officeDocument/2006/relationships/hyperlink" Target="mailto:info@bba-archipole.ch" TargetMode="External"/><Relationship Id="rId202" Type="http://schemas.openxmlformats.org/officeDocument/2006/relationships/hyperlink" Target="http://www.bba-archipole.ch/" TargetMode="External"/><Relationship Id="rId203" Type="http://schemas.openxmlformats.org/officeDocument/2006/relationships/hyperlink" Target="tel:+41587505000" TargetMode="External"/><Relationship Id="rId204" Type="http://schemas.openxmlformats.org/officeDocument/2006/relationships/hyperlink" Target="mailto:info@citigroup.com" TargetMode="External"/><Relationship Id="rId205" Type="http://schemas.openxmlformats.org/officeDocument/2006/relationships/hyperlink" Target="http://www.citigroup.com/" TargetMode="External"/><Relationship Id="rId206" Type="http://schemas.openxmlformats.org/officeDocument/2006/relationships/hyperlink" Target="http://www.mint-architecture.ch/" TargetMode="External"/><Relationship Id="rId207" Type="http://schemas.openxmlformats.org/officeDocument/2006/relationships/hyperlink" Target="tel:+41587153111" TargetMode="External"/><Relationship Id="rId208" Type="http://schemas.openxmlformats.org/officeDocument/2006/relationships/hyperlink" Target="mailto:ciepp@fer-ge.ch" TargetMode="External"/><Relationship Id="rId209" Type="http://schemas.openxmlformats.org/officeDocument/2006/relationships/hyperlink" Target="http://www.ciepp.ch/" TargetMode="External"/><Relationship Id="rId210" Type="http://schemas.openxmlformats.org/officeDocument/2006/relationships/hyperlink" Target="tel:+41227943782" TargetMode="External"/><Relationship Id="rId211" Type="http://schemas.openxmlformats.org/officeDocument/2006/relationships/hyperlink" Target="mailto:s.esposito@creaprojets.ch" TargetMode="External"/><Relationship Id="rId212" Type="http://schemas.openxmlformats.org/officeDocument/2006/relationships/hyperlink" Target="http://www.creaprojets.ch/" TargetMode="External"/><Relationship Id="rId213" Type="http://schemas.openxmlformats.org/officeDocument/2006/relationships/hyperlink" Target="tel:+41229083850" TargetMode="External"/><Relationship Id="rId214" Type="http://schemas.openxmlformats.org/officeDocument/2006/relationships/hyperlink" Target="mailto:ag.geneve-rive-droite@swisslife.ch" TargetMode="External"/><Relationship Id="rId215" Type="http://schemas.openxmlformats.org/officeDocument/2006/relationships/hyperlink" Target="http://www.swisslife.ch/" TargetMode="External"/><Relationship Id="rId216" Type="http://schemas.openxmlformats.org/officeDocument/2006/relationships/hyperlink" Target="tel:+41227081133" TargetMode="External"/><Relationship Id="rId217" Type="http://schemas.openxmlformats.org/officeDocument/2006/relationships/hyperlink" Target="mailto:info@vetspecialistes.ch" TargetMode="External"/><Relationship Id="rId218" Type="http://schemas.openxmlformats.org/officeDocument/2006/relationships/hyperlink" Target="http://www.vetspecialistes.ch/" TargetMode="External"/><Relationship Id="rId219" Type="http://schemas.openxmlformats.org/officeDocument/2006/relationships/hyperlink" Target="tel:+41225561334" TargetMode="External"/><Relationship Id="rId220" Type="http://schemas.openxmlformats.org/officeDocument/2006/relationships/hyperlink" Target="mailto:contact@c-architecture.ch" TargetMode="External"/><Relationship Id="rId221" Type="http://schemas.openxmlformats.org/officeDocument/2006/relationships/hyperlink" Target="http://www.c-architecture.ch/" TargetMode="External"/><Relationship Id="rId222" Type="http://schemas.openxmlformats.org/officeDocument/2006/relationships/hyperlink" Target="tel:+41225466200" TargetMode="External"/><Relationship Id="rId223" Type="http://schemas.openxmlformats.org/officeDocument/2006/relationships/hyperlink" Target="mailto:ocbasac-marchespublics@etat.ge.ch" TargetMode="External"/><Relationship Id="rId224" Type="http://schemas.openxmlformats.org/officeDocument/2006/relationships/hyperlink" Target="http://www.ge.ch/" TargetMode="External"/><Relationship Id="rId225" Type="http://schemas.openxmlformats.org/officeDocument/2006/relationships/hyperlink" Target="tel:+41227863200" TargetMode="External"/><Relationship Id="rId226" Type="http://schemas.openxmlformats.org/officeDocument/2006/relationships/hyperlink" Target="mailto:info@ganzmuller.ch" TargetMode="External"/><Relationship Id="rId227" Type="http://schemas.openxmlformats.org/officeDocument/2006/relationships/hyperlink" Target="http://www.ganzmuller.ch/" TargetMode="External"/><Relationship Id="rId228" Type="http://schemas.openxmlformats.org/officeDocument/2006/relationships/hyperlink" Target="tel:+41228271828" TargetMode="External"/><Relationship Id="rId229" Type="http://schemas.openxmlformats.org/officeDocument/2006/relationships/hyperlink" Target="mailto:info@beric.ch" TargetMode="External"/><Relationship Id="rId230" Type="http://schemas.openxmlformats.org/officeDocument/2006/relationships/hyperlink" Target="http://www.beric.ch/" TargetMode="External"/><Relationship Id="rId231" Type="http://schemas.openxmlformats.org/officeDocument/2006/relationships/hyperlink" Target="tel:+41213214466" TargetMode="External"/><Relationship Id="rId232" Type="http://schemas.openxmlformats.org/officeDocument/2006/relationships/hyperlink" Target="mailto:lausanne@cche.ch" TargetMode="External"/><Relationship Id="rId233" Type="http://schemas.openxmlformats.org/officeDocument/2006/relationships/hyperlink" Target="http://www.cche.ch/" TargetMode="External"/><Relationship Id="rId234" Type="http://schemas.openxmlformats.org/officeDocument/2006/relationships/hyperlink" Target="tel:+41227074600" TargetMode="External"/><Relationship Id="rId235" Type="http://schemas.openxmlformats.org/officeDocument/2006/relationships/hyperlink" Target="mailto:geneva@spgpartner.ch" TargetMode="External"/><Relationship Id="rId236" Type="http://schemas.openxmlformats.org/officeDocument/2006/relationships/hyperlink" Target="http://www.spgpartner.ch/" TargetMode="External"/><Relationship Id="rId237" Type="http://schemas.openxmlformats.org/officeDocument/2006/relationships/hyperlink" Target="mailto:info@ffarch.ch" TargetMode="External"/><Relationship Id="rId238" Type="http://schemas.openxmlformats.org/officeDocument/2006/relationships/hyperlink" Target="http://www.ffarch.ch/" TargetMode="External"/><Relationship Id="rId239" Type="http://schemas.openxmlformats.org/officeDocument/2006/relationships/hyperlink" Target="tel:+41224182150" TargetMode="External"/><Relationship Id="rId240" Type="http://schemas.openxmlformats.org/officeDocument/2006/relationships/hyperlink" Target="mailto:patrimoine-bati.dpba@ville-ge.ch" TargetMode="External"/><Relationship Id="rId241" Type="http://schemas.openxmlformats.org/officeDocument/2006/relationships/hyperlink" Target="http://www.ville-geneve.ch/" TargetMode="External"/><Relationship Id="rId242" Type="http://schemas.openxmlformats.org/officeDocument/2006/relationships/hyperlink" Target="tel:+41228082000" TargetMode="External"/><Relationship Id="rId243" Type="http://schemas.openxmlformats.org/officeDocument/2006/relationships/hyperlink" Target="http://www.richemont.com/" TargetMode="External"/><Relationship Id="rId244" Type="http://schemas.openxmlformats.org/officeDocument/2006/relationships/hyperlink" Target="tel:+41227021077" TargetMode="External"/><Relationship Id="rId245" Type="http://schemas.openxmlformats.org/officeDocument/2006/relationships/hyperlink" Target="mailto:architectes@deplanta-architectes.ch" TargetMode="External"/><Relationship Id="rId246" Type="http://schemas.openxmlformats.org/officeDocument/2006/relationships/hyperlink" Target="http://www.planta-portier.ch/" TargetMode="External"/><Relationship Id="rId247" Type="http://schemas.openxmlformats.org/officeDocument/2006/relationships/hyperlink" Target="tel:+41225160025" TargetMode="External"/><Relationship Id="rId248" Type="http://schemas.openxmlformats.org/officeDocument/2006/relationships/hyperlink" Target="http://www.anticimex.ch/" TargetMode="External"/><Relationship Id="rId249" Type="http://schemas.openxmlformats.org/officeDocument/2006/relationships/hyperlink" Target="tel:+41227301080" TargetMode="External"/><Relationship Id="rId250" Type="http://schemas.openxmlformats.org/officeDocument/2006/relationships/hyperlink" Target="mailto:secretariat@architech.ch" TargetMode="External"/><Relationship Id="rId251" Type="http://schemas.openxmlformats.org/officeDocument/2006/relationships/hyperlink" Target="http://www.architech.ch/" TargetMode="External"/><Relationship Id="rId252" Type="http://schemas.openxmlformats.org/officeDocument/2006/relationships/hyperlink" Target="tel:+41219648000" TargetMode="External"/><Relationship Id="rId253" Type="http://schemas.openxmlformats.org/officeDocument/2006/relationships/hyperlink" Target="mailto:anton.alimi@gmail.com" TargetMode="External"/><Relationship Id="rId254" Type="http://schemas.openxmlformats.org/officeDocument/2006/relationships/hyperlink" Target="tel:+41329242424" TargetMode="External"/><Relationship Id="rId255" Type="http://schemas.openxmlformats.org/officeDocument/2006/relationships/hyperlink" Target="mailto:info@transn.ch" TargetMode="External"/><Relationship Id="rId256" Type="http://schemas.openxmlformats.org/officeDocument/2006/relationships/hyperlink" Target="http://www.transn.ch/" TargetMode="External"/><Relationship Id="rId257" Type="http://schemas.openxmlformats.org/officeDocument/2006/relationships/hyperlink" Target="tel:+41327310088" TargetMode="External"/><Relationship Id="rId258" Type="http://schemas.openxmlformats.org/officeDocument/2006/relationships/hyperlink" Target="mailto:info@edilplan.ch" TargetMode="External"/><Relationship Id="rId259" Type="http://schemas.openxmlformats.org/officeDocument/2006/relationships/hyperlink" Target="http://www.edilplan.ch/" TargetMode="External"/><Relationship Id="rId260" Type="http://schemas.openxmlformats.org/officeDocument/2006/relationships/hyperlink" Target="tel:+41244591812" TargetMode="External"/><Relationship Id="rId261" Type="http://schemas.openxmlformats.org/officeDocument/2006/relationships/hyperlink" Target="mailto:greffe@mathod.ch" TargetMode="External"/><Relationship Id="rId262" Type="http://schemas.openxmlformats.org/officeDocument/2006/relationships/hyperlink" Target="http://www.mathod.ch/" TargetMode="External"/><Relationship Id="rId263" Type="http://schemas.openxmlformats.org/officeDocument/2006/relationships/hyperlink" Target="tel:+41244454750" TargetMode="External"/><Relationship Id="rId264" Type="http://schemas.openxmlformats.org/officeDocument/2006/relationships/hyperlink" Target="mailto:info@arche.swiss" TargetMode="External"/><Relationship Id="rId265" Type="http://schemas.openxmlformats.org/officeDocument/2006/relationships/hyperlink" Target="http://www.arch-e-sarl.ch/" TargetMode="External"/><Relationship Id="rId266" Type="http://schemas.openxmlformats.org/officeDocument/2006/relationships/hyperlink" Target="tel:+41276063800" TargetMode="External"/><Relationship Id="rId267" Type="http://schemas.openxmlformats.org/officeDocument/2006/relationships/hyperlink" Target="mailto:sip-secretariat@admin.vs.ch" TargetMode="External"/><Relationship Id="rId268" Type="http://schemas.openxmlformats.org/officeDocument/2006/relationships/hyperlink" Target="http://www.vs.ch/" TargetMode="External"/><Relationship Id="rId269" Type="http://schemas.openxmlformats.org/officeDocument/2006/relationships/hyperlink" Target="tel:+41273234320" TargetMode="External"/><Relationship Id="rId270" Type="http://schemas.openxmlformats.org/officeDocument/2006/relationships/hyperlink" Target="mailto:sion@mbing.ch" TargetMode="External"/><Relationship Id="rId271" Type="http://schemas.openxmlformats.org/officeDocument/2006/relationships/hyperlink" Target="http://www.mbing.ch/" TargetMode="External"/><Relationship Id="rId272" Type="http://schemas.openxmlformats.org/officeDocument/2006/relationships/hyperlink" Target="tel:+41227181960" TargetMode="External"/><Relationship Id="rId273" Type="http://schemas.openxmlformats.org/officeDocument/2006/relationships/hyperlink" Target="mailto:admin@regiebrun.ch" TargetMode="External"/><Relationship Id="rId274" Type="http://schemas.openxmlformats.org/officeDocument/2006/relationships/hyperlink" Target="http://www.regiebrun.ch/" TargetMode="External"/><Relationship Id="rId275" Type="http://schemas.openxmlformats.org/officeDocument/2006/relationships/hyperlink" Target="tel:+41227432883" TargetMode="External"/><Relationship Id="rId276" Type="http://schemas.openxmlformats.org/officeDocument/2006/relationships/hyperlink" Target="mailto:info@2dlc.net" TargetMode="External"/><Relationship Id="rId277" Type="http://schemas.openxmlformats.org/officeDocument/2006/relationships/hyperlink" Target="http://www.2dlc.net/" TargetMode="External"/><Relationship Id="rId278" Type="http://schemas.openxmlformats.org/officeDocument/2006/relationships/hyperlink" Target="tel:+41223066010" TargetMode="External"/><Relationship Id="rId279" Type="http://schemas.openxmlformats.org/officeDocument/2006/relationships/hyperlink" Target="http://www.alpinefleet.com/" TargetMode="External"/><Relationship Id="rId280" Type="http://schemas.openxmlformats.org/officeDocument/2006/relationships/hyperlink" Target="tel:+41229793400" TargetMode="External"/><Relationship Id="rId281" Type="http://schemas.openxmlformats.org/officeDocument/2006/relationships/hyperlink" Target="mailto:infoge@barnes-commercial.com" TargetMode="External"/><Relationship Id="rId282" Type="http://schemas.openxmlformats.org/officeDocument/2006/relationships/hyperlink" Target="http://www.barnes-commercial.com/" TargetMode="External"/><Relationship Id="rId283" Type="http://schemas.openxmlformats.org/officeDocument/2006/relationships/hyperlink" Target="tel:+41223797111" TargetMode="External"/><Relationship Id="rId284" Type="http://schemas.openxmlformats.org/officeDocument/2006/relationships/hyperlink" Target="mailto:batiments@unige.ch" TargetMode="External"/><Relationship Id="rId285" Type="http://schemas.openxmlformats.org/officeDocument/2006/relationships/hyperlink" Target="http://www.unige.ch/" TargetMode="External"/><Relationship Id="rId286" Type="http://schemas.openxmlformats.org/officeDocument/2006/relationships/hyperlink" Target="tel:+41228098959" TargetMode="External"/><Relationship Id="rId287" Type="http://schemas.openxmlformats.org/officeDocument/2006/relationships/hyperlink" Target="tel:+41228098959" TargetMode="External"/><Relationship Id="rId288" Type="http://schemas.openxmlformats.org/officeDocument/2006/relationships/hyperlink" Target="mailto:corazzini@atelier-architectes.ch" TargetMode="External"/><Relationship Id="rId289" Type="http://schemas.openxmlformats.org/officeDocument/2006/relationships/hyperlink" Target="tel:+41229809400" TargetMode="External"/><Relationship Id="rId290" Type="http://schemas.openxmlformats.org/officeDocument/2006/relationships/hyperlink" Target="http://www.cosyup.work/" TargetMode="External"/><Relationship Id="rId291" Type="http://schemas.openxmlformats.org/officeDocument/2006/relationships/hyperlink" Target="tel:+41798705822" TargetMode="External"/><Relationship Id="rId292" Type="http://schemas.openxmlformats.org/officeDocument/2006/relationships/hyperlink" Target="http://www.abcd.archi/" TargetMode="External"/><Relationship Id="rId293" Type="http://schemas.openxmlformats.org/officeDocument/2006/relationships/hyperlink" Target="tel:+41227960745" TargetMode="External"/><Relationship Id="rId294" Type="http://schemas.openxmlformats.org/officeDocument/2006/relationships/hyperlink" Target="tel:+41223425930" TargetMode="External"/><Relationship Id="rId295" Type="http://schemas.openxmlformats.org/officeDocument/2006/relationships/hyperlink" Target="mailto:geneve@cche.ch" TargetMode="External"/><Relationship Id="rId296" Type="http://schemas.openxmlformats.org/officeDocument/2006/relationships/hyperlink" Target="http://www.cche.ch/" TargetMode="External"/><Relationship Id="rId297" Type="http://schemas.openxmlformats.org/officeDocument/2006/relationships/hyperlink" Target="tel:+41799336531" TargetMode="External"/><Relationship Id="rId298" Type="http://schemas.openxmlformats.org/officeDocument/2006/relationships/hyperlink" Target="mailto:contact@amd-interiordesigner.com" TargetMode="External"/><Relationship Id="rId299" Type="http://schemas.openxmlformats.org/officeDocument/2006/relationships/hyperlink" Target="http://www.amd-interiordesigner.com/" TargetMode="External"/><Relationship Id="rId300" Type="http://schemas.openxmlformats.org/officeDocument/2006/relationships/hyperlink" Target="tel:+41228698844" TargetMode="External"/><Relationship Id="rId301" Type="http://schemas.openxmlformats.org/officeDocument/2006/relationships/hyperlink" Target="http://www.tjca.ch/" TargetMode="External"/><Relationship Id="rId302" Type="http://schemas.openxmlformats.org/officeDocument/2006/relationships/hyperlink" Target="tel:+41445180200" TargetMode="External"/><Relationship Id="rId303" Type="http://schemas.openxmlformats.org/officeDocument/2006/relationships/hyperlink" Target="mailto:kontakt@pensimo.ch" TargetMode="External"/><Relationship Id="rId304" Type="http://schemas.openxmlformats.org/officeDocument/2006/relationships/hyperlink" Target="http://www.pensimo.ch/" TargetMode="External"/><Relationship Id="rId305" Type="http://schemas.openxmlformats.org/officeDocument/2006/relationships/hyperlink" Target="tel:+41227863200" TargetMode="External"/><Relationship Id="rId306" Type="http://schemas.openxmlformats.org/officeDocument/2006/relationships/hyperlink" Target="mailto:geneve@gmaa.ch" TargetMode="External"/><Relationship Id="rId307" Type="http://schemas.openxmlformats.org/officeDocument/2006/relationships/hyperlink" Target="http://www.gmarchitectes.com/" TargetMode="External"/><Relationship Id="rId308" Type="http://schemas.openxmlformats.org/officeDocument/2006/relationships/hyperlink" Target="tel:+41228840600" TargetMode="External"/><Relationship Id="rId309" Type="http://schemas.openxmlformats.org/officeDocument/2006/relationships/hyperlink" Target="http://www.brevanhoward.com/" TargetMode="External"/><Relationship Id="rId310" Type="http://schemas.openxmlformats.org/officeDocument/2006/relationships/hyperlink" Target="tel:+41223214178" TargetMode="External"/><Relationship Id="rId311" Type="http://schemas.openxmlformats.org/officeDocument/2006/relationships/hyperlink" Target="mailto:info@ovarchitectes.com" TargetMode="External"/><Relationship Id="rId312" Type="http://schemas.openxmlformats.org/officeDocument/2006/relationships/hyperlink" Target="http://www.ovarchitectes.com/" TargetMode="External"/><Relationship Id="rId313" Type="http://schemas.openxmlformats.org/officeDocument/2006/relationships/hyperlink" Target="tel:+41225668245" TargetMode="External"/><Relationship Id="rId314" Type="http://schemas.openxmlformats.org/officeDocument/2006/relationships/hyperlink" Target="http://www.rister.ch/" TargetMode="External"/><Relationship Id="rId315" Type="http://schemas.openxmlformats.org/officeDocument/2006/relationships/hyperlink" Target="tel:+41583171717" TargetMode="External"/><Relationship Id="rId316" Type="http://schemas.openxmlformats.org/officeDocument/2006/relationships/hyperlink" Target="mailto:info@sps.swiss" TargetMode="External"/><Relationship Id="rId317" Type="http://schemas.openxmlformats.org/officeDocument/2006/relationships/hyperlink" Target="http://www.sps.swiss/" TargetMode="External"/><Relationship Id="rId318" Type="http://schemas.openxmlformats.org/officeDocument/2006/relationships/hyperlink" Target="tel:+41227943782" TargetMode="External"/><Relationship Id="rId319" Type="http://schemas.openxmlformats.org/officeDocument/2006/relationships/hyperlink" Target="mailto:s.esposito@creaprojets.ch" TargetMode="External"/><Relationship Id="rId320" Type="http://schemas.openxmlformats.org/officeDocument/2006/relationships/hyperlink" Target="http://www.creaprojets.ch/" TargetMode="External"/><Relationship Id="rId321" Type="http://schemas.openxmlformats.org/officeDocument/2006/relationships/hyperlink" Target="tel:+41227070800" TargetMode="External"/><Relationship Id="rId322" Type="http://schemas.openxmlformats.org/officeDocument/2006/relationships/hyperlink" Target="mailto:info@argecil.ch" TargetMode="External"/><Relationship Id="rId323" Type="http://schemas.openxmlformats.org/officeDocument/2006/relationships/hyperlink" Target="http://www.argecil.ch/" TargetMode="External"/><Relationship Id="rId324" Type="http://schemas.openxmlformats.org/officeDocument/2006/relationships/hyperlink" Target="tel:+41223439441" TargetMode="External"/><Relationship Id="rId325" Type="http://schemas.openxmlformats.org/officeDocument/2006/relationships/hyperlink" Target="mailto:contact@strausak.com" TargetMode="External"/><Relationship Id="rId326" Type="http://schemas.openxmlformats.org/officeDocument/2006/relationships/hyperlink" Target="http://www.strausak.com/" TargetMode="External"/><Relationship Id="rId327" Type="http://schemas.openxmlformats.org/officeDocument/2006/relationships/hyperlink" Target="tel:+41225466215" TargetMode="External"/><Relationship Id="rId328" Type="http://schemas.openxmlformats.org/officeDocument/2006/relationships/hyperlink" Target="mailto:infodcti@etat.ge.ch" TargetMode="External"/><Relationship Id="rId329" Type="http://schemas.openxmlformats.org/officeDocument/2006/relationships/hyperlink" Target="http://www.ge.ch/" TargetMode="External"/><Relationship Id="rId330" Type="http://schemas.openxmlformats.org/officeDocument/2006/relationships/hyperlink" Target="tel:+41225466200" TargetMode="External"/><Relationship Id="rId331" Type="http://schemas.openxmlformats.org/officeDocument/2006/relationships/hyperlink" Target="mailto:ocbasac-marchespublics@etat.ge.ch" TargetMode="External"/><Relationship Id="rId332" Type="http://schemas.openxmlformats.org/officeDocument/2006/relationships/hyperlink" Target="http://www.ge.ch/" TargetMode="External"/><Relationship Id="rId333" Type="http://schemas.openxmlformats.org/officeDocument/2006/relationships/hyperlink" Target="tel:+41225465390" TargetMode="External"/><Relationship Id="rId334" Type="http://schemas.openxmlformats.org/officeDocument/2006/relationships/hyperlink" Target="tel:+41227975050" TargetMode="External"/><Relationship Id="rId335" Type="http://schemas.openxmlformats.org/officeDocument/2006/relationships/hyperlink" Target="tel:+41223325000" TargetMode="External"/><Relationship Id="rId336" Type="http://schemas.openxmlformats.org/officeDocument/2006/relationships/hyperlink" Target="tel:+41764296664" TargetMode="External"/><Relationship Id="rId337" Type="http://schemas.openxmlformats.org/officeDocument/2006/relationships/hyperlink" Target="mailto:info@novo-architectes.ch" TargetMode="External"/><Relationship Id="rId338" Type="http://schemas.openxmlformats.org/officeDocument/2006/relationships/hyperlink" Target="http://www.novo-architectes.ch/" TargetMode="External"/><Relationship Id="rId339" Type="http://schemas.openxmlformats.org/officeDocument/2006/relationships/hyperlink" Target="tel:+41228393939" TargetMode="External"/><Relationship Id="rId340" Type="http://schemas.openxmlformats.org/officeDocument/2006/relationships/hyperlink" Target="http://www.naef.ch/" TargetMode="External"/><Relationship Id="rId341" Type="http://schemas.openxmlformats.org/officeDocument/2006/relationships/hyperlink" Target="tel:+41228393778" TargetMode="External"/><Relationship Id="rId342" Type="http://schemas.openxmlformats.org/officeDocument/2006/relationships/hyperlink" Target="mailto:info@alios-sa.ch" TargetMode="External"/><Relationship Id="rId343" Type="http://schemas.openxmlformats.org/officeDocument/2006/relationships/hyperlink" Target="http://www.alios-sa.ch/" TargetMode="External"/><Relationship Id="rId344" Type="http://schemas.openxmlformats.org/officeDocument/2006/relationships/hyperlink" Target="tel:+41227368716" TargetMode="External"/><Relationship Id="rId345" Type="http://schemas.openxmlformats.org/officeDocument/2006/relationships/hyperlink" Target="http://www.congress-service.ch/" TargetMode="External"/><Relationship Id="rId346" Type="http://schemas.openxmlformats.org/officeDocument/2006/relationships/hyperlink" Target="tel:+41225039340" TargetMode="External"/><Relationship Id="rId347" Type="http://schemas.openxmlformats.org/officeDocument/2006/relationships/hyperlink" Target="mailto:contact@par-architecture.ch" TargetMode="External"/><Relationship Id="rId348" Type="http://schemas.openxmlformats.org/officeDocument/2006/relationships/hyperlink" Target="http://www.par-architecture.ch/" TargetMode="External"/><Relationship Id="rId349" Type="http://schemas.openxmlformats.org/officeDocument/2006/relationships/hyperlink" Target="tel:+41229067646" TargetMode="External"/><Relationship Id="rId350" Type="http://schemas.openxmlformats.org/officeDocument/2006/relationships/hyperlink" Target="mailto:info@webcorgroup.com" TargetMode="External"/><Relationship Id="rId351" Type="http://schemas.openxmlformats.org/officeDocument/2006/relationships/hyperlink" Target="http://www.webcorgroup.com/" TargetMode="External"/><Relationship Id="rId352" Type="http://schemas.openxmlformats.org/officeDocument/2006/relationships/hyperlink" Target="tel:+41225433607" TargetMode="External"/><Relationship Id="rId353" Type="http://schemas.openxmlformats.org/officeDocument/2006/relationships/hyperlink" Target="mailto:archi@klip-a.ch" TargetMode="External"/><Relationship Id="rId354" Type="http://schemas.openxmlformats.org/officeDocument/2006/relationships/hyperlink" Target="http://www.klip-a.ch/" TargetMode="External"/><Relationship Id="rId355" Type="http://schemas.openxmlformats.org/officeDocument/2006/relationships/hyperlink" Target="tel:+41225466200" TargetMode="External"/><Relationship Id="rId356" Type="http://schemas.openxmlformats.org/officeDocument/2006/relationships/hyperlink" Target="mailto:ocbasac-marchespublics@etat.ge.ch" TargetMode="External"/><Relationship Id="rId357" Type="http://schemas.openxmlformats.org/officeDocument/2006/relationships/hyperlink" Target="http://www.ge.ch/" TargetMode="External"/><Relationship Id="rId358" Type="http://schemas.openxmlformats.org/officeDocument/2006/relationships/hyperlink" Target="tel:+41788822377" TargetMode="External"/><Relationship Id="rId359" Type="http://schemas.openxmlformats.org/officeDocument/2006/relationships/hyperlink" Target="mailto:info@alatwi-architectes.ch" TargetMode="External"/><Relationship Id="rId360" Type="http://schemas.openxmlformats.org/officeDocument/2006/relationships/hyperlink" Target="http://www.alatwi-architectes.ch/" TargetMode="External"/><Relationship Id="rId361" Type="http://schemas.openxmlformats.org/officeDocument/2006/relationships/hyperlink" Target="tel:+41225929100" TargetMode="External"/><Relationship Id="rId362" Type="http://schemas.openxmlformats.org/officeDocument/2006/relationships/hyperlink" Target="mailto:beu.comm@bunge.com" TargetMode="External"/><Relationship Id="rId363" Type="http://schemas.openxmlformats.org/officeDocument/2006/relationships/hyperlink" Target="http://www.bunge.com/" TargetMode="External"/><Relationship Id="rId364" Type="http://schemas.openxmlformats.org/officeDocument/2006/relationships/hyperlink" Target="tel:+41223430330" TargetMode="External"/><Relationship Id="rId365" Type="http://schemas.openxmlformats.org/officeDocument/2006/relationships/hyperlink" Target="mailto:info@acau.ch" TargetMode="External"/><Relationship Id="rId366" Type="http://schemas.openxmlformats.org/officeDocument/2006/relationships/hyperlink" Target="http://www.acau.ch/" TargetMode="External"/><Relationship Id="rId367" Type="http://schemas.openxmlformats.org/officeDocument/2006/relationships/hyperlink" Target="tel:+41227828282" TargetMode="External"/><Relationship Id="rId368" Type="http://schemas.openxmlformats.org/officeDocument/2006/relationships/hyperlink" Target="mailto:meyrin@meyrin.ch" TargetMode="External"/><Relationship Id="rId369" Type="http://schemas.openxmlformats.org/officeDocument/2006/relationships/hyperlink" Target="http://www.meyrin.ch/" TargetMode="External"/><Relationship Id="rId370" Type="http://schemas.openxmlformats.org/officeDocument/2006/relationships/hyperlink" Target="tel:+41229891693" TargetMode="External"/><Relationship Id="rId371" Type="http://schemas.openxmlformats.org/officeDocument/2006/relationships/hyperlink" Target="tel:+41223228950" TargetMode="External"/><Relationship Id="rId372" Type="http://schemas.openxmlformats.org/officeDocument/2006/relationships/hyperlink" Target="mailto:info@atba.ch" TargetMode="External"/><Relationship Id="rId373" Type="http://schemas.openxmlformats.org/officeDocument/2006/relationships/hyperlink" Target="http://www.atba.ch/" TargetMode="External"/><Relationship Id="rId374" Type="http://schemas.openxmlformats.org/officeDocument/2006/relationships/hyperlink" Target="tel:+41228509393" TargetMode="External"/><Relationship Id="rId375" Type="http://schemas.openxmlformats.org/officeDocument/2006/relationships/hyperlink" Target="mailto:info@confignon.ch" TargetMode="External"/><Relationship Id="rId376" Type="http://schemas.openxmlformats.org/officeDocument/2006/relationships/hyperlink" Target="http://www.confignon.ch/" TargetMode="External"/><Relationship Id="rId377" Type="http://schemas.openxmlformats.org/officeDocument/2006/relationships/hyperlink" Target="tel:+41223403151" TargetMode="External"/><Relationship Id="rId378" Type="http://schemas.openxmlformats.org/officeDocument/2006/relationships/hyperlink" Target="mailto:mcbd@mcbd.ch" TargetMode="External"/><Relationship Id="rId379" Type="http://schemas.openxmlformats.org/officeDocument/2006/relationships/hyperlink" Target="http://www.mcbd.ch/" TargetMode="External"/><Relationship Id="rId380" Type="http://schemas.openxmlformats.org/officeDocument/2006/relationships/hyperlink" Target="tel:+41225181740" TargetMode="External"/><Relationship Id="rId381" Type="http://schemas.openxmlformats.org/officeDocument/2006/relationships/hyperlink" Target="mailto:info@whiteoakam.com" TargetMode="External"/><Relationship Id="rId382" Type="http://schemas.openxmlformats.org/officeDocument/2006/relationships/hyperlink" Target="http://www.whiteoakam.com/" TargetMode="External"/><Relationship Id="rId383" Type="http://schemas.openxmlformats.org/officeDocument/2006/relationships/hyperlink" Target="tel:+41223631050" TargetMode="External"/><Relationship Id="rId384" Type="http://schemas.openxmlformats.org/officeDocument/2006/relationships/hyperlink" Target="tel:+41227151211" TargetMode="External"/><Relationship Id="rId385" Type="http://schemas.openxmlformats.org/officeDocument/2006/relationships/hyperlink" Target="http://www.arabbank.ch/" TargetMode="External"/><Relationship Id="rId386" Type="http://schemas.openxmlformats.org/officeDocument/2006/relationships/hyperlink" Target="tel:+41223210234" TargetMode="External"/><Relationship Id="rId387" Type="http://schemas.openxmlformats.org/officeDocument/2006/relationships/hyperlink" Target="mailto:loic@eyre-architecture.ch" TargetMode="External"/><Relationship Id="rId388" Type="http://schemas.openxmlformats.org/officeDocument/2006/relationships/hyperlink" Target="http://www.eyre-architecture.ch/" TargetMode="External"/><Relationship Id="rId389" Type="http://schemas.openxmlformats.org/officeDocument/2006/relationships/hyperlink" Target="tel:+41223229222" TargetMode="External"/><Relationship Id="rId390" Type="http://schemas.openxmlformats.org/officeDocument/2006/relationships/hyperlink" Target="mailto:service@pilet-renaud.ch" TargetMode="External"/><Relationship Id="rId391" Type="http://schemas.openxmlformats.org/officeDocument/2006/relationships/hyperlink" Target="http://www.pilet-renaud.ch/" TargetMode="External"/><Relationship Id="rId392" Type="http://schemas.openxmlformats.org/officeDocument/2006/relationships/hyperlink" Target="tel:+41227863200" TargetMode="External"/><Relationship Id="rId393" Type="http://schemas.openxmlformats.org/officeDocument/2006/relationships/hyperlink" Target="mailto:geneve@gmaa.ch" TargetMode="External"/><Relationship Id="rId394" Type="http://schemas.openxmlformats.org/officeDocument/2006/relationships/hyperlink" Target="http://www.gmarchitectes.com/" TargetMode="External"/><Relationship Id="rId395" Type="http://schemas.openxmlformats.org/officeDocument/2006/relationships/hyperlink" Target="tel:+41227591123" TargetMode="External"/><Relationship Id="rId396" Type="http://schemas.openxmlformats.org/officeDocument/2006/relationships/hyperlink" Target="mailto:info@domaineducrest.ch" TargetMode="External"/><Relationship Id="rId397" Type="http://schemas.openxmlformats.org/officeDocument/2006/relationships/hyperlink" Target="http://www.domaineducrest.ch/" TargetMode="External"/><Relationship Id="rId398" Type="http://schemas.openxmlformats.org/officeDocument/2006/relationships/hyperlink" Target="tel:+41228790590" TargetMode="External"/><Relationship Id="rId399" Type="http://schemas.openxmlformats.org/officeDocument/2006/relationships/hyperlink" Target="mailto:info@dgpa.ch" TargetMode="External"/><Relationship Id="rId400" Type="http://schemas.openxmlformats.org/officeDocument/2006/relationships/hyperlink" Target="http://www.dgpa.ch/" TargetMode="External"/><Relationship Id="rId401" Type="http://schemas.openxmlformats.org/officeDocument/2006/relationships/hyperlink" Target="tel:+41223389111" TargetMode="External"/><Relationship Id="rId402" Type="http://schemas.openxmlformats.org/officeDocument/2006/relationships/hyperlink" Target="mailto:wipo.mail@wipo.int" TargetMode="External"/><Relationship Id="rId403" Type="http://schemas.openxmlformats.org/officeDocument/2006/relationships/hyperlink" Target="http://www.wipo.int/" TargetMode="External"/><Relationship Id="rId404" Type="http://schemas.openxmlformats.org/officeDocument/2006/relationships/hyperlink" Target="tel:+41228790590" TargetMode="External"/><Relationship Id="rId405" Type="http://schemas.openxmlformats.org/officeDocument/2006/relationships/hyperlink" Target="mailto:info@dgpa.ch" TargetMode="External"/><Relationship Id="rId406" Type="http://schemas.openxmlformats.org/officeDocument/2006/relationships/hyperlink" Target="http://www.dgpa.ch/" TargetMode="External"/><Relationship Id="rId407" Type="http://schemas.openxmlformats.org/officeDocument/2006/relationships/hyperlink" Target="tel:+41223389111" TargetMode="External"/><Relationship Id="rId408" Type="http://schemas.openxmlformats.org/officeDocument/2006/relationships/hyperlink" Target="mailto:wipo.mail@wipo.int" TargetMode="External"/><Relationship Id="rId409" Type="http://schemas.openxmlformats.org/officeDocument/2006/relationships/hyperlink" Target="http://www.wipo.int/" TargetMode="External"/><Relationship Id="rId410" Type="http://schemas.openxmlformats.org/officeDocument/2006/relationships/hyperlink" Target="tel:+41228790590" TargetMode="External"/><Relationship Id="rId411" Type="http://schemas.openxmlformats.org/officeDocument/2006/relationships/hyperlink" Target="mailto:info@dgpa.ch" TargetMode="External"/><Relationship Id="rId412" Type="http://schemas.openxmlformats.org/officeDocument/2006/relationships/hyperlink" Target="http://www.dgpa.ch/" TargetMode="External"/><Relationship Id="rId413" Type="http://schemas.openxmlformats.org/officeDocument/2006/relationships/hyperlink" Target="tel:+41227186464" TargetMode="External"/><Relationship Id="rId414" Type="http://schemas.openxmlformats.org/officeDocument/2006/relationships/hyperlink" Target="mailto:info@publicislive.com" TargetMode="External"/><Relationship Id="rId415" Type="http://schemas.openxmlformats.org/officeDocument/2006/relationships/hyperlink" Target="http://www.publicislive.com/" TargetMode="External"/><Relationship Id="rId416" Type="http://schemas.openxmlformats.org/officeDocument/2006/relationships/hyperlink" Target="tel:+41223324488" TargetMode="External"/><Relationship Id="rId417" Type="http://schemas.openxmlformats.org/officeDocument/2006/relationships/hyperlink" Target="mailto:info@strata.ch" TargetMode="External"/><Relationship Id="rId418" Type="http://schemas.openxmlformats.org/officeDocument/2006/relationships/hyperlink" Target="http://www.strata.ch/" TargetMode="External"/><Relationship Id="rId419" Type="http://schemas.openxmlformats.org/officeDocument/2006/relationships/hyperlink" Target="tel:+41223797111" TargetMode="External"/><Relationship Id="rId420" Type="http://schemas.openxmlformats.org/officeDocument/2006/relationships/hyperlink" Target="mailto:batiments@unige.ch" TargetMode="External"/><Relationship Id="rId421" Type="http://schemas.openxmlformats.org/officeDocument/2006/relationships/hyperlink" Target="http://www.unige.ch/" TargetMode="External"/><Relationship Id="rId422" Type="http://schemas.openxmlformats.org/officeDocument/2006/relationships/hyperlink" Target="tel:+41224183405" TargetMode="External"/><Relationship Id="rId423" Type="http://schemas.openxmlformats.org/officeDocument/2006/relationships/hyperlink" Target="tel:+41223070130" TargetMode="External"/><Relationship Id="rId424" Type="http://schemas.openxmlformats.org/officeDocument/2006/relationships/hyperlink" Target="mailto:mail@dl-a.ch" TargetMode="External"/><Relationship Id="rId425" Type="http://schemas.openxmlformats.org/officeDocument/2006/relationships/hyperlink" Target="http://www.dl-a.ch/" TargetMode="External"/><Relationship Id="rId426" Type="http://schemas.openxmlformats.org/officeDocument/2006/relationships/hyperlink" Target="tel:+41223106790" TargetMode="External"/><Relationship Id="rId427" Type="http://schemas.openxmlformats.org/officeDocument/2006/relationships/hyperlink" Target="tel:+41786768744" TargetMode="External"/><Relationship Id="rId428" Type="http://schemas.openxmlformats.org/officeDocument/2006/relationships/hyperlink" Target="mailto:juanmanuelgonzalezp@gmail.com" TargetMode="External"/><Relationship Id="rId429" Type="http://schemas.openxmlformats.org/officeDocument/2006/relationships/hyperlink" Target="tel:+41223004020" TargetMode="External"/><Relationship Id="rId430" Type="http://schemas.openxmlformats.org/officeDocument/2006/relationships/hyperlink" Target="tel:+41227943782" TargetMode="External"/><Relationship Id="rId431" Type="http://schemas.openxmlformats.org/officeDocument/2006/relationships/hyperlink" Target="mailto:s.esposito@creaprojets.ch" TargetMode="External"/><Relationship Id="rId432" Type="http://schemas.openxmlformats.org/officeDocument/2006/relationships/hyperlink" Target="http://www.creaprojets.ch/" TargetMode="External"/><Relationship Id="rId433" Type="http://schemas.openxmlformats.org/officeDocument/2006/relationships/hyperlink" Target="tel:+41227872400" TargetMode="External"/><Relationship Id="rId434" Type="http://schemas.openxmlformats.org/officeDocument/2006/relationships/hyperlink" Target="mailto:administration@ecolint.ch" TargetMode="External"/><Relationship Id="rId435" Type="http://schemas.openxmlformats.org/officeDocument/2006/relationships/hyperlink" Target="http://www.ecolint.ch/" TargetMode="External"/><Relationship Id="rId436" Type="http://schemas.openxmlformats.org/officeDocument/2006/relationships/hyperlink" Target="tel:+41786662944" TargetMode="External"/><Relationship Id="rId437" Type="http://schemas.openxmlformats.org/officeDocument/2006/relationships/hyperlink" Target="mailto:r.brogniart@blockbarchitectes.ch" TargetMode="External"/><Relationship Id="rId438" Type="http://schemas.openxmlformats.org/officeDocument/2006/relationships/hyperlink" Target="http://www.blockbarchitectes.ch/" TargetMode="External"/><Relationship Id="rId439" Type="http://schemas.openxmlformats.org/officeDocument/2006/relationships/hyperlink" Target="tel:+41223393939" TargetMode="External"/><Relationship Id="rId440" Type="http://schemas.openxmlformats.org/officeDocument/2006/relationships/hyperlink" Target="mailto:info@rosset.ch" TargetMode="External"/><Relationship Id="rId441" Type="http://schemas.openxmlformats.org/officeDocument/2006/relationships/hyperlink" Target="http://www.rosset.ch/" TargetMode="External"/><Relationship Id="rId442" Type="http://schemas.openxmlformats.org/officeDocument/2006/relationships/hyperlink" Target="tel:+41782222262" TargetMode="External"/><Relationship Id="rId443" Type="http://schemas.openxmlformats.org/officeDocument/2006/relationships/hyperlink" Target="mailto:contact@pcfs.ch" TargetMode="External"/><Relationship Id="rId444" Type="http://schemas.openxmlformats.org/officeDocument/2006/relationships/hyperlink" Target="http://www.pcfs.ch/" TargetMode="External"/><Relationship Id="rId445" Type="http://schemas.openxmlformats.org/officeDocument/2006/relationships/hyperlink" Target="tel:+41223797111" TargetMode="External"/><Relationship Id="rId446" Type="http://schemas.openxmlformats.org/officeDocument/2006/relationships/hyperlink" Target="mailto:batiments@unige.ch" TargetMode="External"/><Relationship Id="rId447" Type="http://schemas.openxmlformats.org/officeDocument/2006/relationships/hyperlink" Target="http://www.unige.ch/" TargetMode="External"/><Relationship Id="rId448" Type="http://schemas.openxmlformats.org/officeDocument/2006/relationships/hyperlink" Target="tel:+41227210200" TargetMode="External"/><Relationship Id="rId449" Type="http://schemas.openxmlformats.org/officeDocument/2006/relationships/hyperlink" Target="mailto:secretariat.suisse@talan.com" TargetMode="External"/><Relationship Id="rId450" Type="http://schemas.openxmlformats.org/officeDocument/2006/relationships/hyperlink" Target="http://www.talan.com/" TargetMode="External"/><Relationship Id="rId451" Type="http://schemas.openxmlformats.org/officeDocument/2006/relationships/hyperlink" Target="tel:+41227943782" TargetMode="External"/><Relationship Id="rId452" Type="http://schemas.openxmlformats.org/officeDocument/2006/relationships/hyperlink" Target="mailto:s.esposito@creaprojets.ch" TargetMode="External"/><Relationship Id="rId453" Type="http://schemas.openxmlformats.org/officeDocument/2006/relationships/hyperlink" Target="http://www.creaprojets.ch/" TargetMode="External"/><Relationship Id="rId454" Type="http://schemas.openxmlformats.org/officeDocument/2006/relationships/hyperlink" Target="tel:+41227172111" TargetMode="External"/><Relationship Id="rId455" Type="http://schemas.openxmlformats.org/officeDocument/2006/relationships/hyperlink" Target="mailto:ebu@ebu.ch" TargetMode="External"/><Relationship Id="rId456" Type="http://schemas.openxmlformats.org/officeDocument/2006/relationships/hyperlink" Target="http://www.ebu.ch/" TargetMode="External"/><Relationship Id="rId457" Type="http://schemas.openxmlformats.org/officeDocument/2006/relationships/hyperlink" Target="tel:+41215661139" TargetMode="External"/><Relationship Id="rId458" Type="http://schemas.openxmlformats.org/officeDocument/2006/relationships/hyperlink" Target="mailto:lausanne@studiobanana.com" TargetMode="External"/><Relationship Id="rId459" Type="http://schemas.openxmlformats.org/officeDocument/2006/relationships/hyperlink" Target="http://www.studiobanana.com/" TargetMode="External"/><Relationship Id="rId460" Type="http://schemas.openxmlformats.org/officeDocument/2006/relationships/hyperlink" Target="tel:+41224205200" TargetMode="External"/><Relationship Id="rId461" Type="http://schemas.openxmlformats.org/officeDocument/2006/relationships/hyperlink" Target="mailto:contact@hospicegeneral.ch" TargetMode="External"/><Relationship Id="rId462" Type="http://schemas.openxmlformats.org/officeDocument/2006/relationships/hyperlink" Target="http://www.hospicegeneral.ch/" TargetMode="External"/><Relationship Id="rId463" Type="http://schemas.openxmlformats.org/officeDocument/2006/relationships/hyperlink" Target="tel:+41227943782" TargetMode="External"/><Relationship Id="rId464" Type="http://schemas.openxmlformats.org/officeDocument/2006/relationships/hyperlink" Target="mailto:s.esposito@creaprojets.ch" TargetMode="External"/><Relationship Id="rId465" Type="http://schemas.openxmlformats.org/officeDocument/2006/relationships/hyperlink" Target="http://www.creaprojets.ch/" TargetMode="External"/><Relationship Id="rId466" Type="http://schemas.openxmlformats.org/officeDocument/2006/relationships/hyperlink" Target="tel:+41413697070" TargetMode="External"/><Relationship Id="rId467" Type="http://schemas.openxmlformats.org/officeDocument/2006/relationships/hyperlink" Target="mailto:info@carl-f-bucherer.com" TargetMode="External"/><Relationship Id="rId468" Type="http://schemas.openxmlformats.org/officeDocument/2006/relationships/hyperlink" Target="http://www.bucherer.com/" TargetMode="External"/><Relationship Id="rId469" Type="http://schemas.openxmlformats.org/officeDocument/2006/relationships/hyperlink" Target="mailto:info@lucasfalbriard.ch" TargetMode="External"/><Relationship Id="rId470" Type="http://schemas.openxmlformats.org/officeDocument/2006/relationships/hyperlink" Target="http://www.lucasfalbriard.ch/" TargetMode="External"/><Relationship Id="rId471" Type="http://schemas.openxmlformats.org/officeDocument/2006/relationships/hyperlink" Target="tel:+41227092111" TargetMode="External"/><Relationship Id="rId472" Type="http://schemas.openxmlformats.org/officeDocument/2006/relationships/hyperlink" Target="http://www.lombardodier.com/" TargetMode="External"/><Relationship Id="rId473" Type="http://schemas.openxmlformats.org/officeDocument/2006/relationships/hyperlink" Target="tel:+41213119924" TargetMode="External"/><Relationship Id="rId474" Type="http://schemas.openxmlformats.org/officeDocument/2006/relationships/hyperlink" Target="mailto:switzerland@aremis.com" TargetMode="External"/><Relationship Id="rId475" Type="http://schemas.openxmlformats.org/officeDocument/2006/relationships/hyperlink" Target="http://www.aremis.com/" TargetMode="External"/><Relationship Id="rId476" Type="http://schemas.openxmlformats.org/officeDocument/2006/relationships/hyperlink" Target="tel:+41228274930" TargetMode="External"/><Relationship Id="rId477" Type="http://schemas.openxmlformats.org/officeDocument/2006/relationships/hyperlink" Target="mailto:contact@fivc.ch" TargetMode="External"/><Relationship Id="rId478" Type="http://schemas.openxmlformats.org/officeDocument/2006/relationships/hyperlink" Target="http://www.carouge.ch/" TargetMode="External"/><Relationship Id="rId479" Type="http://schemas.openxmlformats.org/officeDocument/2006/relationships/hyperlink" Target="tel:+41223011395" TargetMode="External"/><Relationship Id="rId480" Type="http://schemas.openxmlformats.org/officeDocument/2006/relationships/hyperlink" Target="mailto:info@atelier92.ch" TargetMode="External"/><Relationship Id="rId481" Type="http://schemas.openxmlformats.org/officeDocument/2006/relationships/hyperlink" Target="http://www.atelier92.ch/" TargetMode="External"/><Relationship Id="rId482" Type="http://schemas.openxmlformats.org/officeDocument/2006/relationships/hyperlink" Target="tel:+41225801700" TargetMode="External"/><Relationship Id="rId483" Type="http://schemas.openxmlformats.org/officeDocument/2006/relationships/hyperlink" Target="http://www.gardacp.com/" TargetMode="External"/><Relationship Id="rId484" Type="http://schemas.openxmlformats.org/officeDocument/2006/relationships/hyperlink" Target="tel:+41228698844" TargetMode="External"/><Relationship Id="rId485" Type="http://schemas.openxmlformats.org/officeDocument/2006/relationships/hyperlink" Target="mailto:admin@tjca.ch" TargetMode="External"/><Relationship Id="rId486" Type="http://schemas.openxmlformats.org/officeDocument/2006/relationships/hyperlink" Target="http://www.tjca.ch/" TargetMode="External"/><Relationship Id="rId487" Type="http://schemas.openxmlformats.org/officeDocument/2006/relationships/hyperlink" Target="tel:+41244596010" TargetMode="External"/><Relationship Id="rId488" Type="http://schemas.openxmlformats.org/officeDocument/2006/relationships/hyperlink" Target="mailto:fglauser@fglauser.ch" TargetMode="External"/><Relationship Id="rId489" Type="http://schemas.openxmlformats.org/officeDocument/2006/relationships/hyperlink" Target="http://www.fglauser.ch/" TargetMode="External"/><Relationship Id="rId490" Type="http://schemas.openxmlformats.org/officeDocument/2006/relationships/hyperlink" Target="tel:+41227310165" TargetMode="External"/><Relationship Id="rId491" Type="http://schemas.openxmlformats.org/officeDocument/2006/relationships/hyperlink" Target="tel:+41227080180" TargetMode="External"/><Relationship Id="rId492" Type="http://schemas.openxmlformats.org/officeDocument/2006/relationships/hyperlink" Target="mailto:3bm3@3bm3.ch" TargetMode="External"/><Relationship Id="rId493" Type="http://schemas.openxmlformats.org/officeDocument/2006/relationships/hyperlink" Target="http://www.3bm3.ch/" TargetMode="External"/><Relationship Id="rId494" Type="http://schemas.openxmlformats.org/officeDocument/2006/relationships/vmlDrawing" Target="../drawings/vmlDrawing1.vml"/><Relationship Id="rId495"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3A40"/>
    <pageSetUpPr fitToPage="true"/>
  </sheetPr>
  <dimension ref="B2: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4"/>
    <col collapsed="false" customWidth="true" hidden="false" outlineLevel="0" max="4" min="4" style="0" width="12"/>
    <col collapsed="false" customWidth="true" hidden="false" outlineLevel="0" max="5" min="5" style="0" width="4"/>
    <col collapsed="false" customWidth="true" hidden="false" outlineLevel="0" max="6" min="6" style="0" width="36"/>
    <col collapsed="false" customWidth="true" hidden="false" outlineLevel="0" max="8" min="7" style="0" width="12"/>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F5" s="3" t="s">
        <v>3</v>
      </c>
    </row>
    <row r="6" customFormat="false" ht="15" hidden="false" customHeight="false" outlineLevel="0" collapsed="false">
      <c r="B6" s="4" t="s">
        <v>4</v>
      </c>
      <c r="C6" s="5" t="n">
        <f aca="false">COUNTA(Projects!$A$2:$A$109)</f>
        <v>108</v>
      </c>
      <c r="F6" s="6" t="s">
        <v>5</v>
      </c>
      <c r="G6" s="6" t="s">
        <v>6</v>
      </c>
    </row>
    <row r="7" customFormat="false" ht="15" hidden="false" customHeight="false" outlineLevel="0" collapsed="false">
      <c r="B7" s="4" t="s">
        <v>7</v>
      </c>
      <c r="C7" s="5" t="n">
        <f aca="false">COUNTA(Calls!$E$2:$E$9999)</f>
        <v>204</v>
      </c>
      <c r="F7" s="4" t="s">
        <v>8</v>
      </c>
      <c r="G7" s="4" t="n">
        <f aca="false">COUNTIF(Calls!$O$2:$O$9999,F7)</f>
        <v>194</v>
      </c>
    </row>
    <row r="8" customFormat="false" ht="15" hidden="false" customHeight="false" outlineLevel="0" collapsed="false">
      <c r="B8" s="4" t="s">
        <v>9</v>
      </c>
      <c r="C8" s="5" t="n">
        <f aca="false">COUNTIF(Calls!$G$2:$G$9999,"To be found")</f>
        <v>22</v>
      </c>
      <c r="F8" s="4" t="s">
        <v>10</v>
      </c>
      <c r="G8" s="4" t="n">
        <f aca="false">COUNTIF(Calls!$O$2:$O$9999,F8)</f>
        <v>7</v>
      </c>
    </row>
    <row r="9" customFormat="false" ht="15" hidden="false" customHeight="false" outlineLevel="0" collapsed="false">
      <c r="B9" s="4" t="s">
        <v>11</v>
      </c>
      <c r="C9" s="7" t="n">
        <f aca="false">SUM(Projects!$K$2:$K$109)</f>
        <v>78470000</v>
      </c>
      <c r="D9" s="2" t="s">
        <v>12</v>
      </c>
      <c r="F9" s="4" t="s">
        <v>13</v>
      </c>
      <c r="G9" s="4" t="n">
        <f aca="false">COUNTIF(Calls!$O$2:$O$9999,F9)</f>
        <v>1</v>
      </c>
    </row>
    <row r="10" customFormat="false" ht="15" hidden="false" customHeight="false" outlineLevel="0" collapsed="false">
      <c r="F10" s="4" t="s">
        <v>14</v>
      </c>
      <c r="G10" s="4" t="n">
        <f aca="false">COUNTIF(Calls!$O$2:$O$9999,F10)</f>
        <v>0</v>
      </c>
    </row>
    <row r="11" customFormat="false" ht="15" hidden="false" customHeight="false" outlineLevel="0" collapsed="false">
      <c r="B11" s="3" t="s">
        <v>15</v>
      </c>
      <c r="F11" s="4" t="s">
        <v>16</v>
      </c>
      <c r="G11" s="4" t="n">
        <f aca="false">COUNTIF(Calls!$O$2:$O$9999,F11)</f>
        <v>0</v>
      </c>
    </row>
    <row r="12" customFormat="false" ht="15" hidden="false" customHeight="false" outlineLevel="0" collapsed="false">
      <c r="B12" s="4" t="s">
        <v>17</v>
      </c>
      <c r="C12" s="5" t="n">
        <f aca="false">COUNTIF(Calls!$P$2:$P$9999,"&gt;0")</f>
        <v>10</v>
      </c>
      <c r="F12" s="4" t="s">
        <v>18</v>
      </c>
      <c r="G12" s="4" t="n">
        <f aca="false">COUNTIF(Calls!$O$2:$O$9999,F12)</f>
        <v>0</v>
      </c>
    </row>
    <row r="13" customFormat="false" ht="15" hidden="false" customHeight="false" outlineLevel="0" collapsed="false">
      <c r="B13" s="4" t="s">
        <v>19</v>
      </c>
      <c r="C13" s="8" t="n">
        <f aca="false">IFERROR(C12/C7,0)</f>
        <v>0.0490196078431373</v>
      </c>
      <c r="F13" s="4" t="s">
        <v>20</v>
      </c>
      <c r="G13" s="4" t="n">
        <f aca="false">COUNTIF(Calls!$O$2:$O$9999,F13)</f>
        <v>0</v>
      </c>
    </row>
    <row r="14" customFormat="false" ht="15" hidden="false" customHeight="false" outlineLevel="0" collapsed="false">
      <c r="B14" s="4" t="s">
        <v>21</v>
      </c>
      <c r="C14" s="5" t="n">
        <f aca="false">SUM(Calls!$P$2:$P$9999)</f>
        <v>10</v>
      </c>
      <c r="F14" s="4" t="s">
        <v>22</v>
      </c>
      <c r="G14" s="4" t="n">
        <f aca="false">COUNTIF(Calls!$O$2:$O$9999,F14)</f>
        <v>0</v>
      </c>
    </row>
    <row r="15" customFormat="false" ht="15" hidden="false" customHeight="false" outlineLevel="0" collapsed="false">
      <c r="B15" s="4" t="s">
        <v>23</v>
      </c>
      <c r="C15" s="5" t="n">
        <f aca="false">COUNTIF(Calls!$N$2:$N$9999,"Reached*")</f>
        <v>5</v>
      </c>
      <c r="F15" s="4" t="s">
        <v>24</v>
      </c>
      <c r="G15" s="4" t="n">
        <f aca="false">COUNTIF(Calls!$O$2:$O$9999,F15)</f>
        <v>0</v>
      </c>
    </row>
    <row r="16" customFormat="false" ht="15" hidden="false" customHeight="false" outlineLevel="0" collapsed="false">
      <c r="B16" s="4" t="s">
        <v>25</v>
      </c>
      <c r="C16" s="8" t="n">
        <f aca="false">IFERROR(C15/C12,0)</f>
        <v>0.5</v>
      </c>
      <c r="D16" s="2" t="s">
        <v>26</v>
      </c>
      <c r="F16" s="4" t="s">
        <v>27</v>
      </c>
      <c r="G16" s="4" t="n">
        <f aca="false">COUNTIF(Calls!$O$2:$O$9999,F16)</f>
        <v>0</v>
      </c>
    </row>
    <row r="17" customFormat="false" ht="15" hidden="false" customHeight="false" outlineLevel="0" collapsed="false">
      <c r="B17" s="4" t="s">
        <v>28</v>
      </c>
      <c r="C17" s="5" t="n">
        <f aca="false">COUNTIF(Calls!$O$2:$O$9999,"Interested")+COUNTIF(Calls!$O$2:$O$9999,"Meeting booked")+COUNTIF(Calls!$O$2:$O$9999,"Quote requested")</f>
        <v>0</v>
      </c>
      <c r="F17" s="4" t="s">
        <v>29</v>
      </c>
      <c r="G17" s="4" t="n">
        <f aca="false">COUNTIF(Calls!$O$2:$O$9999,F17)</f>
        <v>2</v>
      </c>
    </row>
    <row r="18" customFormat="false" ht="15" hidden="false" customHeight="false" outlineLevel="0" collapsed="false">
      <c r="B18" s="4" t="s">
        <v>30</v>
      </c>
      <c r="C18" s="8" t="n">
        <f aca="false">IFERROR(C17/C15,0)</f>
        <v>0</v>
      </c>
      <c r="D18" s="2" t="s">
        <v>31</v>
      </c>
      <c r="F18" s="9" t="s">
        <v>32</v>
      </c>
      <c r="G18" s="9" t="n">
        <f aca="false">SUM(G7:G17)</f>
        <v>204</v>
      </c>
    </row>
    <row r="19" customFormat="false" ht="15" hidden="false" customHeight="false" outlineLevel="0" collapsed="false">
      <c r="B19" s="4" t="s">
        <v>33</v>
      </c>
      <c r="C19" s="10" t="n">
        <f aca="true">SUMPRODUCT((Calls!$S$2:$S$9999&lt;&gt;"")*(Calls!$S$2:$S$9999&lt;=TODAY())*((Calls!$O$2:$O$9999="Call back")+(Calls!$O$2:$O$9999="Follow-up by email")+(Calls!$O$2:$O$9999="Interested")+(Calls!$O$2:$O$9999="Quote requested")+(Calls!$O$2:$O$9999="To call")))</f>
        <v>0</v>
      </c>
    </row>
    <row r="20" customFormat="false" ht="15" hidden="false" customHeight="false" outlineLevel="0" collapsed="false">
      <c r="F20" s="3" t="s">
        <v>34</v>
      </c>
    </row>
    <row r="21" customFormat="false" ht="15" hidden="false" customHeight="false" outlineLevel="0" collapsed="false">
      <c r="F21" s="6" t="s">
        <v>35</v>
      </c>
      <c r="G21" s="6" t="s">
        <v>6</v>
      </c>
      <c r="H21" s="6" t="s">
        <v>36</v>
      </c>
    </row>
    <row r="22" customFormat="false" ht="15" hidden="false" customHeight="false" outlineLevel="0" collapsed="false">
      <c r="F22" s="9" t="s">
        <v>37</v>
      </c>
      <c r="G22" s="11" t="n">
        <f aca="false">COUNTIF(Calls!$C$2:$C$9999,F22)</f>
        <v>50</v>
      </c>
      <c r="H22" s="11" t="n">
        <f aca="false">COUNTIFS(Calls!$C$2:$C$9999,F22,Calls!$O$2:$O$9999,"To call")</f>
        <v>46</v>
      </c>
    </row>
    <row r="23" customFormat="false" ht="15" hidden="false" customHeight="false" outlineLevel="0" collapsed="false">
      <c r="F23" s="9" t="s">
        <v>38</v>
      </c>
      <c r="G23" s="11" t="n">
        <f aca="false">COUNTIF(Calls!$C$2:$C$9999,F23)</f>
        <v>52</v>
      </c>
      <c r="H23" s="11" t="n">
        <f aca="false">COUNTIFS(Calls!$C$2:$C$9999,F23,Calls!$O$2:$O$9999,"To call")</f>
        <v>50</v>
      </c>
    </row>
    <row r="24" customFormat="false" ht="15" hidden="false" customHeight="false" outlineLevel="0" collapsed="false">
      <c r="F24" s="9" t="s">
        <v>39</v>
      </c>
      <c r="G24" s="11" t="n">
        <f aca="false">COUNTIF(Calls!$C$2:$C$9999,F24)</f>
        <v>102</v>
      </c>
      <c r="H24" s="11" t="n">
        <f aca="false">COUNTIFS(Calls!$C$2:$C$9999,F24,Calls!$O$2:$O$9999,"To call")</f>
        <v>98</v>
      </c>
    </row>
    <row r="26" customFormat="false" ht="15" hidden="false" customHeight="false" outlineLevel="0" collapsed="false">
      <c r="F26" s="3" t="s">
        <v>40</v>
      </c>
    </row>
    <row r="27" customFormat="false" ht="15" hidden="false" customHeight="false" outlineLevel="0" collapsed="false">
      <c r="F27" s="6" t="s">
        <v>41</v>
      </c>
      <c r="G27" s="6" t="s">
        <v>4</v>
      </c>
    </row>
    <row r="28" customFormat="false" ht="15" hidden="false" customHeight="false" outlineLevel="0" collapsed="false">
      <c r="F28" s="11" t="s">
        <v>42</v>
      </c>
      <c r="G28" s="11" t="n">
        <f aca="false">COUNTIF(Projects!$H$2:$H$109,F28)</f>
        <v>35</v>
      </c>
    </row>
    <row r="29" customFormat="false" ht="15" hidden="false" customHeight="false" outlineLevel="0" collapsed="false">
      <c r="F29" s="11" t="s">
        <v>43</v>
      </c>
      <c r="G29" s="11" t="n">
        <f aca="false">COUNTIF(Projects!$H$2:$H$109,F29)</f>
        <v>73</v>
      </c>
    </row>
    <row r="32" customFormat="false" ht="15" hidden="false" customHeight="false" outlineLevel="0" collapsed="false">
      <c r="B32" s="3" t="s">
        <v>44</v>
      </c>
    </row>
    <row r="33" customFormat="false" ht="15" hidden="false" customHeight="false" outlineLevel="0" collapsed="false">
      <c r="B33" s="11" t="s">
        <v>45</v>
      </c>
    </row>
    <row r="34" customFormat="false" ht="15" hidden="false" customHeight="false" outlineLevel="0" collapsed="false">
      <c r="B34" s="11" t="s">
        <v>46</v>
      </c>
    </row>
    <row r="35" customFormat="false" ht="15" hidden="false" customHeight="false" outlineLevel="0" collapsed="false">
      <c r="B35" s="11" t="s">
        <v>47</v>
      </c>
    </row>
    <row r="36" customFormat="false" ht="15" hidden="false" customHeight="false" outlineLevel="0" collapsed="false">
      <c r="B36" s="11" t="s">
        <v>48</v>
      </c>
    </row>
    <row r="37" customFormat="false" ht="15" hidden="false" customHeight="false" outlineLevel="0" collapsed="false">
      <c r="B37" s="11" t="s">
        <v>49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5A6"/>
    <pageSetUpPr fitToPage="true"/>
  </sheetPr>
  <dimension ref="B2: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5"/>
  </cols>
  <sheetData>
    <row r="2" customFormat="false" ht="19.7" hidden="false" customHeight="false" outlineLevel="0" collapsed="false">
      <c r="B2" s="1" t="s">
        <v>50</v>
      </c>
    </row>
    <row r="4" customFormat="false" ht="15" hidden="false" customHeight="false" outlineLevel="0" collapsed="false">
      <c r="B4" s="3" t="s">
        <v>51</v>
      </c>
    </row>
    <row r="5" customFormat="false" ht="15" hidden="false" customHeight="false" outlineLevel="0" collapsed="false">
      <c r="B5" s="12" t="s">
        <v>52</v>
      </c>
      <c r="C5" s="13" t="s">
        <v>53</v>
      </c>
    </row>
    <row r="6" customFormat="false" ht="15" hidden="false" customHeight="false" outlineLevel="0" collapsed="false">
      <c r="B6" s="12" t="s">
        <v>54</v>
      </c>
      <c r="C6" s="13" t="s">
        <v>55</v>
      </c>
    </row>
    <row r="7" customFormat="false" ht="15" hidden="false" customHeight="false" outlineLevel="0" collapsed="false">
      <c r="B7" s="12" t="s">
        <v>4</v>
      </c>
      <c r="C7" s="13" t="s">
        <v>56</v>
      </c>
    </row>
    <row r="8" customFormat="false" ht="15" hidden="false" customHeight="false" outlineLevel="0" collapsed="false">
      <c r="B8" s="12" t="s">
        <v>57</v>
      </c>
      <c r="C8" s="13" t="s">
        <v>58</v>
      </c>
    </row>
    <row r="10" customFormat="false" ht="15" hidden="false" customHeight="false" outlineLevel="0" collapsed="false">
      <c r="B10" s="3" t="s">
        <v>59</v>
      </c>
    </row>
    <row r="11" customFormat="false" ht="15" hidden="false" customHeight="false" outlineLevel="0" collapsed="false">
      <c r="B11" s="12" t="s">
        <v>60</v>
      </c>
      <c r="C11" s="13" t="s">
        <v>61</v>
      </c>
    </row>
    <row r="12" customFormat="false" ht="15" hidden="false" customHeight="false" outlineLevel="0" collapsed="false">
      <c r="B12" s="12" t="s">
        <v>62</v>
      </c>
      <c r="C12" s="13" t="s">
        <v>63</v>
      </c>
    </row>
    <row r="13" customFormat="false" ht="15" hidden="false" customHeight="false" outlineLevel="0" collapsed="false">
      <c r="B13" s="12" t="s">
        <v>64</v>
      </c>
      <c r="C13" s="13" t="s">
        <v>65</v>
      </c>
    </row>
    <row r="14" customFormat="false" ht="15" hidden="false" customHeight="false" outlineLevel="0" collapsed="false">
      <c r="B14" s="12" t="s">
        <v>66</v>
      </c>
      <c r="C14" s="13" t="s">
        <v>67</v>
      </c>
    </row>
    <row r="15" customFormat="false" ht="15" hidden="false" customHeight="false" outlineLevel="0" collapsed="false">
      <c r="B15" s="12" t="s">
        <v>68</v>
      </c>
      <c r="C15" s="13" t="s">
        <v>69</v>
      </c>
    </row>
    <row r="16" customFormat="false" ht="15" hidden="false" customHeight="false" outlineLevel="0" collapsed="false">
      <c r="B16" s="12" t="s">
        <v>70</v>
      </c>
      <c r="C16" s="13" t="s">
        <v>71</v>
      </c>
    </row>
    <row r="17" customFormat="false" ht="15" hidden="false" customHeight="false" outlineLevel="0" collapsed="false">
      <c r="B17" s="12" t="s">
        <v>72</v>
      </c>
      <c r="C17" s="13" t="s">
        <v>73</v>
      </c>
    </row>
    <row r="19" customFormat="false" ht="15" hidden="false" customHeight="false" outlineLevel="0" collapsed="false">
      <c r="B19" s="3" t="s">
        <v>74</v>
      </c>
    </row>
    <row r="20" customFormat="false" ht="15" hidden="false" customHeight="false" outlineLevel="0" collapsed="false">
      <c r="B20" s="12" t="s">
        <v>75</v>
      </c>
      <c r="C20" s="13" t="s">
        <v>76</v>
      </c>
    </row>
    <row r="21" customFormat="false" ht="15" hidden="false" customHeight="false" outlineLevel="0" collapsed="false">
      <c r="B21" s="12" t="s">
        <v>5</v>
      </c>
      <c r="C21" s="13" t="s">
        <v>77</v>
      </c>
    </row>
    <row r="22" customFormat="false" ht="15" hidden="false" customHeight="false" outlineLevel="0" collapsed="false">
      <c r="B22" s="12" t="s">
        <v>78</v>
      </c>
      <c r="C22" s="13" t="s">
        <v>79</v>
      </c>
    </row>
    <row r="23" customFormat="false" ht="15" hidden="false" customHeight="false" outlineLevel="0" collapsed="false">
      <c r="B23" s="12" t="s">
        <v>80</v>
      </c>
      <c r="C23" s="13" t="s">
        <v>81</v>
      </c>
    </row>
    <row r="24" customFormat="false" ht="15" hidden="false" customHeight="false" outlineLevel="0" collapsed="false">
      <c r="B24" s="12" t="s">
        <v>82</v>
      </c>
      <c r="C24" s="13" t="s">
        <v>83</v>
      </c>
    </row>
    <row r="25" customFormat="false" ht="15" hidden="false" customHeight="false" outlineLevel="0" collapsed="false">
      <c r="B25" s="12" t="s">
        <v>84</v>
      </c>
      <c r="C25" s="13" t="s">
        <v>85</v>
      </c>
    </row>
    <row r="27" customFormat="false" ht="15" hidden="false" customHeight="false" outlineLevel="0" collapsed="false">
      <c r="B27" s="3" t="s">
        <v>86</v>
      </c>
    </row>
    <row r="28" customFormat="false" ht="15" hidden="false" customHeight="false" outlineLevel="0" collapsed="false">
      <c r="B28" s="12" t="s">
        <v>75</v>
      </c>
      <c r="C28" s="14" t="s">
        <v>87</v>
      </c>
    </row>
    <row r="29" customFormat="false" ht="15" hidden="false" customHeight="false" outlineLevel="0" collapsed="false">
      <c r="B29" s="12" t="s">
        <v>5</v>
      </c>
      <c r="C29" s="14" t="s">
        <v>10</v>
      </c>
    </row>
    <row r="30" customFormat="false" ht="15" hidden="false" customHeight="false" outlineLevel="0" collapsed="false">
      <c r="B30" s="12" t="s">
        <v>78</v>
      </c>
      <c r="C30" s="14" t="s">
        <v>88</v>
      </c>
    </row>
    <row r="31" customFormat="false" ht="15" hidden="false" customHeight="false" outlineLevel="0" collapsed="false">
      <c r="B31" s="12" t="s">
        <v>80</v>
      </c>
      <c r="C31" s="14" t="s">
        <v>89</v>
      </c>
    </row>
    <row r="32" customFormat="false" ht="15" hidden="false" customHeight="false" outlineLevel="0" collapsed="false">
      <c r="B32" s="12" t="s">
        <v>90</v>
      </c>
      <c r="C32" s="14" t="s">
        <v>10</v>
      </c>
    </row>
    <row r="33" customFormat="false" ht="15" hidden="false" customHeight="false" outlineLevel="0" collapsed="false">
      <c r="B33" s="12" t="s">
        <v>91</v>
      </c>
      <c r="C33" s="14" t="s">
        <v>92</v>
      </c>
    </row>
    <row r="34" customFormat="false" ht="15" hidden="false" customHeight="false" outlineLevel="0" collapsed="false">
      <c r="B34" s="12" t="s">
        <v>84</v>
      </c>
      <c r="C34" s="14" t="s">
        <v>93</v>
      </c>
    </row>
    <row r="36" customFormat="false" ht="15" hidden="false" customHeight="false" outlineLevel="0" collapsed="false">
      <c r="B36" s="3" t="s">
        <v>94</v>
      </c>
    </row>
    <row r="37" customFormat="false" ht="15" hidden="false" customHeight="false" outlineLevel="0" collapsed="false">
      <c r="B37" s="12" t="s">
        <v>95</v>
      </c>
      <c r="C37" s="13" t="s">
        <v>96</v>
      </c>
    </row>
    <row r="38" customFormat="false" ht="15" hidden="false" customHeight="false" outlineLevel="0" collapsed="false">
      <c r="B38" s="12" t="s">
        <v>97</v>
      </c>
      <c r="C38" s="13" t="s">
        <v>98</v>
      </c>
    </row>
    <row r="39" customFormat="false" ht="15" hidden="false" customHeight="false" outlineLevel="0" collapsed="false">
      <c r="B39" s="12" t="s">
        <v>42</v>
      </c>
      <c r="C39" s="13" t="s">
        <v>99</v>
      </c>
    </row>
    <row r="40" customFormat="false" ht="15" hidden="false" customHeight="false" outlineLevel="0" collapsed="false">
      <c r="B40" s="12" t="s">
        <v>43</v>
      </c>
      <c r="C40" s="13" t="s">
        <v>100</v>
      </c>
    </row>
    <row r="41" customFormat="false" ht="15" hidden="false" customHeight="false" outlineLevel="0" collapsed="false">
      <c r="B41" s="12" t="s">
        <v>101</v>
      </c>
      <c r="C41" s="13" t="s">
        <v>102</v>
      </c>
    </row>
    <row r="43" customFormat="false" ht="15" hidden="false" customHeight="false" outlineLevel="0" collapsed="false">
      <c r="B43" s="3" t="s">
        <v>103</v>
      </c>
    </row>
    <row r="44" customFormat="false" ht="15" hidden="false" customHeight="false" outlineLevel="0" collapsed="false">
      <c r="B44" s="12" t="s">
        <v>104</v>
      </c>
      <c r="C44" s="13" t="s">
        <v>105</v>
      </c>
    </row>
    <row r="45" customFormat="false" ht="15" hidden="false" customHeight="false" outlineLevel="0" collapsed="false">
      <c r="B45" s="12" t="s">
        <v>106</v>
      </c>
      <c r="C45" s="13" t="s">
        <v>107</v>
      </c>
    </row>
    <row r="46" customFormat="false" ht="15" hidden="false" customHeight="false" outlineLevel="0" collapsed="false">
      <c r="B46" s="12" t="s">
        <v>108</v>
      </c>
      <c r="C46" s="13" t="s">
        <v>109</v>
      </c>
    </row>
    <row r="47" customFormat="false" ht="15" hidden="false" customHeight="false" outlineLevel="0" collapsed="false">
      <c r="B47" s="12" t="s">
        <v>110</v>
      </c>
      <c r="C47" s="13" t="s">
        <v>111</v>
      </c>
    </row>
    <row r="48" customFormat="false" ht="15" hidden="false" customHeight="false" outlineLevel="0" collapsed="false">
      <c r="B48" s="12" t="s">
        <v>112</v>
      </c>
      <c r="C48" s="13" t="s">
        <v>113</v>
      </c>
    </row>
    <row r="49" customFormat="false" ht="15" hidden="false" customHeight="false" outlineLevel="0" collapsed="false">
      <c r="B49" s="12" t="s">
        <v>114</v>
      </c>
      <c r="C49" s="13" t="s">
        <v>115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41A"/>
    <pageSetUpPr fitToPage="true"/>
  </sheetPr>
  <dimension ref="A1:AC20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1" topLeftCell="F2" activePane="bottomLeft" state="frozen"/>
      <selection pane="topLeft" activeCell="A1" activeCellId="0" sqref="A1"/>
      <selection pane="bottomLeft" activeCell="A1" activeCellId="0" sqref="A1"/>
    </sheetView>
  </sheetViews>
  <sheetFormatPr defaultColWidth="8.5390625" defaultRowHeight="15" zeroHeight="false" outlineLevelRow="0" outlineLevelCol="1"/>
  <cols>
    <col collapsed="false" customWidth="true" hidden="false" outlineLevel="0" max="1" min="1" style="0" width="21"/>
    <col collapsed="false" customWidth="true" hidden="false" outlineLevel="0" max="2" min="2" style="0" width="6"/>
    <col collapsed="false" customWidth="true" hidden="false" outlineLevel="0" max="3" min="3" style="0" width="8"/>
    <col collapsed="false" customWidth="true" hidden="false" outlineLevel="0" max="4" min="4" style="0" width="17"/>
    <col collapsed="false" customWidth="true" hidden="false" outlineLevel="0" max="5" min="5" style="0" width="34"/>
    <col collapsed="false" customWidth="true" hidden="false" outlineLevel="0" max="6" min="6" style="0" width="20"/>
    <col collapsed="false" customWidth="true" hidden="false" outlineLevel="0" max="7" min="7" style="0" width="15"/>
    <col collapsed="false" customWidth="true" hidden="false" outlineLevel="0" max="8" min="8" style="0" width="26"/>
    <col collapsed="false" customWidth="true" hidden="false" outlineLevel="0" max="9" min="9" style="0" width="34"/>
    <col collapsed="false" customWidth="true" hidden="false" outlineLevel="0" max="10" min="10" style="0" width="18"/>
    <col collapsed="false" customWidth="true" hidden="false" outlineLevel="0" max="11" min="11" style="0" width="16"/>
    <col collapsed="false" customWidth="true" hidden="false" outlineLevel="0" max="12" min="12" style="0" width="14"/>
    <col collapsed="false" customWidth="true" hidden="false" outlineLevel="0" max="13" min="13" style="0" width="10"/>
    <col collapsed="false" customWidth="true" hidden="false" outlineLevel="0" max="14" min="14" style="0" width="22"/>
    <col collapsed="false" customWidth="true" hidden="false" outlineLevel="0" max="15" min="15" style="0" width="20"/>
    <col collapsed="false" customWidth="true" hidden="false" outlineLevel="0" max="16" min="16" style="0" width="9"/>
    <col collapsed="false" customWidth="true" hidden="false" outlineLevel="0" max="17" min="17" style="0" width="12"/>
    <col collapsed="false" customWidth="true" hidden="false" outlineLevel="0" max="18" min="18" style="0" width="19"/>
    <col collapsed="false" customWidth="true" hidden="false" outlineLevel="0" max="19" min="19" style="0" width="12"/>
    <col collapsed="false" customWidth="true" hidden="false" outlineLevel="0" max="20" min="20" style="0" width="40"/>
    <col collapsed="false" customWidth="true" hidden="false" outlineLevel="1" max="22" min="21" style="0" width="11"/>
    <col collapsed="false" customWidth="true" hidden="false" outlineLevel="1" max="23" min="23" style="0" width="30"/>
    <col collapsed="false" customWidth="true" hidden="false" outlineLevel="1" max="24" min="24" style="0" width="22"/>
    <col collapsed="false" customWidth="true" hidden="false" outlineLevel="1" max="25" min="25" style="0" width="28"/>
    <col collapsed="false" customWidth="true" hidden="false" outlineLevel="1" max="26" min="26" style="0" width="22"/>
    <col collapsed="false" customWidth="true" hidden="false" outlineLevel="1" max="27" min="27" style="0" width="50"/>
    <col collapsed="false" customWidth="true" hidden="false" outlineLevel="1" max="28" min="28" style="0" width="14"/>
    <col collapsed="false" customWidth="true" hidden="false" outlineLevel="1" max="29" min="29" style="0" width="24"/>
  </cols>
  <sheetData>
    <row r="1" customFormat="false" ht="42" hidden="false" customHeight="true" outlineLevel="0" collapsed="false">
      <c r="A1" s="15" t="s">
        <v>116</v>
      </c>
      <c r="B1" s="15" t="s">
        <v>117</v>
      </c>
      <c r="C1" s="15" t="s">
        <v>35</v>
      </c>
      <c r="D1" s="15" t="s">
        <v>118</v>
      </c>
      <c r="E1" s="15" t="s">
        <v>119</v>
      </c>
      <c r="F1" s="15" t="s">
        <v>120</v>
      </c>
      <c r="G1" s="15" t="s">
        <v>121</v>
      </c>
      <c r="H1" s="15" t="s">
        <v>122</v>
      </c>
      <c r="I1" s="15" t="s">
        <v>123</v>
      </c>
      <c r="J1" s="15" t="s">
        <v>124</v>
      </c>
      <c r="K1" s="15" t="s">
        <v>41</v>
      </c>
      <c r="L1" s="15" t="s">
        <v>125</v>
      </c>
      <c r="M1" s="15" t="s">
        <v>126</v>
      </c>
      <c r="N1" s="16" t="s">
        <v>75</v>
      </c>
      <c r="O1" s="16" t="s">
        <v>5</v>
      </c>
      <c r="P1" s="16" t="s">
        <v>78</v>
      </c>
      <c r="Q1" s="16" t="s">
        <v>80</v>
      </c>
      <c r="R1" s="16" t="s">
        <v>90</v>
      </c>
      <c r="S1" s="16" t="s">
        <v>91</v>
      </c>
      <c r="T1" s="16" t="s">
        <v>127</v>
      </c>
      <c r="U1" s="17" t="s">
        <v>101</v>
      </c>
      <c r="V1" s="17" t="s">
        <v>128</v>
      </c>
      <c r="W1" s="17" t="s">
        <v>129</v>
      </c>
      <c r="X1" s="17" t="s">
        <v>130</v>
      </c>
      <c r="Y1" s="17" t="s">
        <v>131</v>
      </c>
      <c r="Z1" s="17" t="s">
        <v>132</v>
      </c>
      <c r="AA1" s="17" t="s">
        <v>133</v>
      </c>
      <c r="AB1" s="17" t="s">
        <v>134</v>
      </c>
      <c r="AC1" s="17" t="s">
        <v>135</v>
      </c>
    </row>
    <row r="2" customFormat="false" ht="30" hidden="false" customHeight="true" outlineLevel="0" collapsed="false">
      <c r="A2" s="18" t="s">
        <v>136</v>
      </c>
      <c r="B2" s="19" t="n">
        <v>1</v>
      </c>
      <c r="C2" s="20" t="str">
        <f aca="false">IF(L2="","C",IF(L2&gt;=Lists!$I$2,"A",IF(L2&gt;=Lists!$I$3,"B","C")))</f>
        <v>C</v>
      </c>
      <c r="D2" s="21" t="s">
        <v>137</v>
      </c>
      <c r="E2" s="22" t="s">
        <v>138</v>
      </c>
      <c r="F2" s="18" t="s">
        <v>139</v>
      </c>
      <c r="G2" s="23" t="s">
        <v>140</v>
      </c>
      <c r="H2" s="23" t="s">
        <v>141</v>
      </c>
      <c r="I2" s="21" t="s">
        <v>142</v>
      </c>
      <c r="J2" s="18" t="s">
        <v>143</v>
      </c>
      <c r="K2" s="18" t="s">
        <v>43</v>
      </c>
      <c r="L2" s="24" t="n">
        <v>50000</v>
      </c>
      <c r="M2" s="19" t="n">
        <f aca="false">IF(G2="To be found",COUNTIF($E$2:$E$9999,E2),COUNTIF($G$2:$G$9999,G2))</f>
        <v>1</v>
      </c>
      <c r="N2" s="25" t="s">
        <v>87</v>
      </c>
      <c r="O2" s="25" t="s">
        <v>10</v>
      </c>
      <c r="P2" s="26" t="n">
        <v>1</v>
      </c>
      <c r="Q2" s="27" t="n">
        <v>46297</v>
      </c>
      <c r="R2" s="25" t="s">
        <v>10</v>
      </c>
      <c r="S2" s="27" t="n">
        <v>46300</v>
      </c>
      <c r="T2" s="28" t="s">
        <v>144</v>
      </c>
      <c r="U2" s="18" t="s">
        <v>145</v>
      </c>
      <c r="V2" s="29" t="n">
        <v>46029</v>
      </c>
      <c r="W2" s="18" t="s">
        <v>146</v>
      </c>
      <c r="X2" s="23" t="s">
        <v>147</v>
      </c>
      <c r="Y2" s="18" t="s">
        <v>148</v>
      </c>
      <c r="Z2" s="18" t="s">
        <v>149</v>
      </c>
      <c r="AA2" s="18" t="s">
        <v>150</v>
      </c>
      <c r="AB2" s="18" t="s">
        <v>151</v>
      </c>
      <c r="AC2" s="18"/>
    </row>
    <row r="3" customFormat="false" ht="30" hidden="false" customHeight="true" outlineLevel="0" collapsed="false">
      <c r="A3" s="18" t="s">
        <v>136</v>
      </c>
      <c r="B3" s="19" t="n">
        <v>1</v>
      </c>
      <c r="C3" s="20" t="str">
        <f aca="false">IF(L3="","C",IF(L3&gt;=Lists!$I$2,"A",IF(L3&gt;=Lists!$I$3,"B","C")))</f>
        <v>C</v>
      </c>
      <c r="D3" s="21" t="s">
        <v>97</v>
      </c>
      <c r="E3" s="22" t="s">
        <v>152</v>
      </c>
      <c r="F3" s="18"/>
      <c r="G3" s="30" t="s">
        <v>153</v>
      </c>
      <c r="H3" s="18"/>
      <c r="I3" s="21" t="s">
        <v>142</v>
      </c>
      <c r="J3" s="18" t="s">
        <v>143</v>
      </c>
      <c r="K3" s="18" t="s">
        <v>43</v>
      </c>
      <c r="L3" s="24" t="n">
        <v>50000</v>
      </c>
      <c r="M3" s="19" t="n">
        <f aca="false">IF(G3="To be found",COUNTIF($E$2:$E$9999,E3),COUNTIF($G$2:$G$9999,G3))</f>
        <v>3</v>
      </c>
      <c r="N3" s="25"/>
      <c r="O3" s="25" t="s">
        <v>8</v>
      </c>
      <c r="P3" s="26" t="n">
        <v>0</v>
      </c>
      <c r="Q3" s="27"/>
      <c r="R3" s="25" t="s">
        <v>154</v>
      </c>
      <c r="S3" s="27" t="n">
        <v>46300</v>
      </c>
      <c r="T3" s="28" t="s">
        <v>155</v>
      </c>
      <c r="U3" s="18" t="s">
        <v>145</v>
      </c>
      <c r="V3" s="29" t="n">
        <v>46029</v>
      </c>
      <c r="W3" s="18" t="s">
        <v>156</v>
      </c>
      <c r="X3" s="18"/>
      <c r="Y3" s="18" t="s">
        <v>148</v>
      </c>
      <c r="Z3" s="18" t="s">
        <v>149</v>
      </c>
      <c r="AA3" s="18" t="s">
        <v>150</v>
      </c>
      <c r="AB3" s="18" t="s">
        <v>151</v>
      </c>
      <c r="AC3" s="18"/>
    </row>
    <row r="4" customFormat="false" ht="30" hidden="false" customHeight="true" outlineLevel="0" collapsed="false">
      <c r="A4" s="18" t="s">
        <v>157</v>
      </c>
      <c r="B4" s="19" t="n">
        <v>1</v>
      </c>
      <c r="C4" s="20" t="str">
        <f aca="false">IF(L4="","C",IF(L4&gt;=Lists!$I$2,"A",IF(L4&gt;=Lists!$I$3,"B","C")))</f>
        <v>C</v>
      </c>
      <c r="D4" s="21" t="s">
        <v>137</v>
      </c>
      <c r="E4" s="22" t="s">
        <v>158</v>
      </c>
      <c r="F4" s="18" t="s">
        <v>159</v>
      </c>
      <c r="G4" s="30" t="s">
        <v>153</v>
      </c>
      <c r="H4" s="18"/>
      <c r="I4" s="21" t="s">
        <v>160</v>
      </c>
      <c r="J4" s="18" t="s">
        <v>161</v>
      </c>
      <c r="K4" s="18" t="s">
        <v>43</v>
      </c>
      <c r="L4" s="24" t="n">
        <v>40000</v>
      </c>
      <c r="M4" s="19" t="n">
        <f aca="false">IF(G4="To be found",COUNTIF($E$2:$E$9999,E4),COUNTIF($G$2:$G$9999,G4))</f>
        <v>1</v>
      </c>
      <c r="N4" s="25" t="s">
        <v>162</v>
      </c>
      <c r="O4" s="25" t="s">
        <v>29</v>
      </c>
      <c r="P4" s="26" t="n">
        <v>1</v>
      </c>
      <c r="Q4" s="27" t="n">
        <v>46297</v>
      </c>
      <c r="R4" s="25" t="s">
        <v>163</v>
      </c>
      <c r="S4" s="27"/>
      <c r="T4" s="28" t="s">
        <v>164</v>
      </c>
      <c r="U4" s="18" t="s">
        <v>165</v>
      </c>
      <c r="V4" s="29" t="n">
        <v>46014</v>
      </c>
      <c r="W4" s="18" t="s">
        <v>166</v>
      </c>
      <c r="X4" s="18"/>
      <c r="Y4" s="18" t="s">
        <v>166</v>
      </c>
      <c r="Z4" s="18" t="s">
        <v>149</v>
      </c>
      <c r="AA4" s="18" t="s">
        <v>167</v>
      </c>
      <c r="AB4" s="18" t="s">
        <v>151</v>
      </c>
      <c r="AC4" s="18"/>
    </row>
    <row r="5" customFormat="false" ht="30" hidden="false" customHeight="true" outlineLevel="0" collapsed="false">
      <c r="A5" s="18" t="s">
        <v>157</v>
      </c>
      <c r="B5" s="19" t="n">
        <v>1</v>
      </c>
      <c r="C5" s="20" t="str">
        <f aca="false">IF(L5="","C",IF(L5&gt;=Lists!$I$2,"A",IF(L5&gt;=Lists!$I$3,"B","C")))</f>
        <v>C</v>
      </c>
      <c r="D5" s="21" t="s">
        <v>97</v>
      </c>
      <c r="E5" s="22" t="s">
        <v>168</v>
      </c>
      <c r="F5" s="18" t="s">
        <v>169</v>
      </c>
      <c r="G5" s="23" t="s">
        <v>170</v>
      </c>
      <c r="H5" s="23" t="s">
        <v>171</v>
      </c>
      <c r="I5" s="21" t="s">
        <v>160</v>
      </c>
      <c r="J5" s="18" t="s">
        <v>161</v>
      </c>
      <c r="K5" s="18" t="s">
        <v>43</v>
      </c>
      <c r="L5" s="24" t="n">
        <v>40000</v>
      </c>
      <c r="M5" s="19" t="n">
        <f aca="false">IF(G5="To be found",COUNTIF($E$2:$E$9999,E5),COUNTIF($G$2:$G$9999,G5))</f>
        <v>4</v>
      </c>
      <c r="N5" s="25" t="s">
        <v>172</v>
      </c>
      <c r="O5" s="25" t="s">
        <v>10</v>
      </c>
      <c r="P5" s="26" t="n">
        <v>1</v>
      </c>
      <c r="Q5" s="27" t="n">
        <v>46297</v>
      </c>
      <c r="R5" s="25" t="s">
        <v>10</v>
      </c>
      <c r="S5" s="27" t="n">
        <v>46300</v>
      </c>
      <c r="T5" s="28" t="s">
        <v>173</v>
      </c>
      <c r="U5" s="18" t="s">
        <v>165</v>
      </c>
      <c r="V5" s="29" t="n">
        <v>46014</v>
      </c>
      <c r="W5" s="18" t="s">
        <v>174</v>
      </c>
      <c r="X5" s="23" t="s">
        <v>175</v>
      </c>
      <c r="Y5" s="18" t="s">
        <v>166</v>
      </c>
      <c r="Z5" s="18" t="s">
        <v>149</v>
      </c>
      <c r="AA5" s="18" t="s">
        <v>167</v>
      </c>
      <c r="AB5" s="18" t="s">
        <v>151</v>
      </c>
      <c r="AC5" s="18"/>
    </row>
    <row r="6" customFormat="false" ht="30" hidden="false" customHeight="true" outlineLevel="0" collapsed="false">
      <c r="A6" s="18" t="s">
        <v>176</v>
      </c>
      <c r="B6" s="19" t="n">
        <v>1</v>
      </c>
      <c r="C6" s="20" t="str">
        <f aca="false">IF(L6="","C",IF(L6&gt;=Lists!$I$2,"A",IF(L6&gt;=Lists!$I$3,"B","C")))</f>
        <v>B</v>
      </c>
      <c r="D6" s="21" t="s">
        <v>137</v>
      </c>
      <c r="E6" s="22" t="s">
        <v>177</v>
      </c>
      <c r="F6" s="18" t="s">
        <v>178</v>
      </c>
      <c r="G6" s="23" t="s">
        <v>179</v>
      </c>
      <c r="H6" s="23" t="s">
        <v>180</v>
      </c>
      <c r="I6" s="21" t="s">
        <v>181</v>
      </c>
      <c r="J6" s="18" t="s">
        <v>182</v>
      </c>
      <c r="K6" s="18" t="s">
        <v>43</v>
      </c>
      <c r="L6" s="24" t="n">
        <v>150000</v>
      </c>
      <c r="M6" s="19" t="n">
        <f aca="false">IF(G6="To be found",COUNTIF($E$2:$E$9999,E6),COUNTIF($G$2:$G$9999,G6))</f>
        <v>1</v>
      </c>
      <c r="N6" s="25" t="s">
        <v>183</v>
      </c>
      <c r="O6" s="25" t="s">
        <v>29</v>
      </c>
      <c r="P6" s="26" t="n">
        <v>1</v>
      </c>
      <c r="Q6" s="27" t="n">
        <v>46297</v>
      </c>
      <c r="R6" s="25" t="s">
        <v>163</v>
      </c>
      <c r="S6" s="27"/>
      <c r="T6" s="28" t="s">
        <v>184</v>
      </c>
      <c r="U6" s="18" t="s">
        <v>185</v>
      </c>
      <c r="V6" s="29" t="n">
        <v>46013</v>
      </c>
      <c r="W6" s="18" t="s">
        <v>186</v>
      </c>
      <c r="X6" s="23" t="s">
        <v>187</v>
      </c>
      <c r="Y6" s="18" t="s">
        <v>188</v>
      </c>
      <c r="Z6" s="18" t="s">
        <v>149</v>
      </c>
      <c r="AA6" s="18" t="s">
        <v>189</v>
      </c>
      <c r="AB6" s="18" t="s">
        <v>151</v>
      </c>
      <c r="AC6" s="18"/>
    </row>
    <row r="7" customFormat="false" ht="30" hidden="false" customHeight="true" outlineLevel="0" collapsed="false">
      <c r="A7" s="18" t="s">
        <v>176</v>
      </c>
      <c r="B7" s="19" t="n">
        <v>1</v>
      </c>
      <c r="C7" s="20" t="str">
        <f aca="false">IF(L7="","C",IF(L7&gt;=Lists!$I$2,"A",IF(L7&gt;=Lists!$I$3,"B","C")))</f>
        <v>B</v>
      </c>
      <c r="D7" s="21" t="s">
        <v>97</v>
      </c>
      <c r="E7" s="22" t="s">
        <v>190</v>
      </c>
      <c r="F7" s="18" t="s">
        <v>191</v>
      </c>
      <c r="G7" s="23" t="s">
        <v>192</v>
      </c>
      <c r="H7" s="23" t="s">
        <v>193</v>
      </c>
      <c r="I7" s="21" t="s">
        <v>181</v>
      </c>
      <c r="J7" s="18" t="s">
        <v>182</v>
      </c>
      <c r="K7" s="18" t="s">
        <v>43</v>
      </c>
      <c r="L7" s="24" t="n">
        <v>150000</v>
      </c>
      <c r="M7" s="19" t="n">
        <f aca="false">IF(G7="To be found",COUNTIF($E$2:$E$9999,E7),COUNTIF($G$2:$G$9999,G7))</f>
        <v>1</v>
      </c>
      <c r="N7" s="25" t="s">
        <v>194</v>
      </c>
      <c r="O7" s="25" t="s">
        <v>10</v>
      </c>
      <c r="P7" s="26" t="n">
        <v>1</v>
      </c>
      <c r="Q7" s="27" t="n">
        <v>46297</v>
      </c>
      <c r="R7" s="25" t="s">
        <v>195</v>
      </c>
      <c r="S7" s="27" t="n">
        <v>46300</v>
      </c>
      <c r="T7" s="28" t="s">
        <v>196</v>
      </c>
      <c r="U7" s="18" t="s">
        <v>185</v>
      </c>
      <c r="V7" s="29" t="n">
        <v>46013</v>
      </c>
      <c r="W7" s="18" t="s">
        <v>197</v>
      </c>
      <c r="X7" s="23" t="s">
        <v>198</v>
      </c>
      <c r="Y7" s="18" t="s">
        <v>188</v>
      </c>
      <c r="Z7" s="18" t="s">
        <v>149</v>
      </c>
      <c r="AA7" s="18" t="s">
        <v>189</v>
      </c>
      <c r="AB7" s="18" t="s">
        <v>151</v>
      </c>
      <c r="AC7" s="18"/>
    </row>
    <row r="8" customFormat="false" ht="30" hidden="false" customHeight="true" outlineLevel="0" collapsed="false">
      <c r="A8" s="18" t="s">
        <v>199</v>
      </c>
      <c r="B8" s="19" t="n">
        <v>1</v>
      </c>
      <c r="C8" s="20" t="str">
        <f aca="false">IF(L8="","C",IF(L8&gt;=Lists!$I$2,"A",IF(L8&gt;=Lists!$I$3,"B","C")))</f>
        <v>A</v>
      </c>
      <c r="D8" s="21" t="s">
        <v>137</v>
      </c>
      <c r="E8" s="22" t="s">
        <v>200</v>
      </c>
      <c r="F8" s="18"/>
      <c r="G8" s="23" t="s">
        <v>201</v>
      </c>
      <c r="H8" s="23" t="s">
        <v>202</v>
      </c>
      <c r="I8" s="21" t="s">
        <v>203</v>
      </c>
      <c r="J8" s="18" t="s">
        <v>204</v>
      </c>
      <c r="K8" s="18" t="s">
        <v>42</v>
      </c>
      <c r="L8" s="24" t="n">
        <v>350000</v>
      </c>
      <c r="M8" s="19" t="n">
        <f aca="false">IF(G8="To be found",COUNTIF($E$2:$E$9999,E8),COUNTIF($G$2:$G$9999,G8))</f>
        <v>1</v>
      </c>
      <c r="N8" s="25" t="s">
        <v>205</v>
      </c>
      <c r="O8" s="25" t="s">
        <v>10</v>
      </c>
      <c r="P8" s="26" t="n">
        <v>1</v>
      </c>
      <c r="Q8" s="27" t="n">
        <v>46297</v>
      </c>
      <c r="R8" s="25" t="s">
        <v>10</v>
      </c>
      <c r="S8" s="27" t="n">
        <v>46300</v>
      </c>
      <c r="T8" s="28" t="s">
        <v>206</v>
      </c>
      <c r="U8" s="18" t="s">
        <v>207</v>
      </c>
      <c r="V8" s="29" t="n">
        <v>45989</v>
      </c>
      <c r="W8" s="18" t="s">
        <v>208</v>
      </c>
      <c r="X8" s="18"/>
      <c r="Y8" s="18" t="s">
        <v>209</v>
      </c>
      <c r="Z8" s="18" t="s">
        <v>149</v>
      </c>
      <c r="AA8" s="18" t="s">
        <v>210</v>
      </c>
      <c r="AB8" s="18" t="s">
        <v>151</v>
      </c>
      <c r="AC8" s="18"/>
    </row>
    <row r="9" customFormat="false" ht="30" hidden="false" customHeight="true" outlineLevel="0" collapsed="false">
      <c r="A9" s="18" t="s">
        <v>199</v>
      </c>
      <c r="B9" s="19" t="n">
        <v>1</v>
      </c>
      <c r="C9" s="20" t="str">
        <f aca="false">IF(L9="","C",IF(L9&gt;=Lists!$I$2,"A",IF(L9&gt;=Lists!$I$3,"B","C")))</f>
        <v>A</v>
      </c>
      <c r="D9" s="21" t="s">
        <v>97</v>
      </c>
      <c r="E9" s="22" t="s">
        <v>211</v>
      </c>
      <c r="F9" s="18" t="s">
        <v>212</v>
      </c>
      <c r="G9" s="23" t="s">
        <v>213</v>
      </c>
      <c r="H9" s="23" t="s">
        <v>214</v>
      </c>
      <c r="I9" s="21" t="s">
        <v>203</v>
      </c>
      <c r="J9" s="18" t="s">
        <v>204</v>
      </c>
      <c r="K9" s="18" t="s">
        <v>42</v>
      </c>
      <c r="L9" s="24" t="n">
        <v>350000</v>
      </c>
      <c r="M9" s="19" t="n">
        <f aca="false">IF(G9="To be found",COUNTIF($E$2:$E$9999,E9),COUNTIF($G$2:$G$9999,G9))</f>
        <v>1</v>
      </c>
      <c r="N9" s="25" t="s">
        <v>215</v>
      </c>
      <c r="O9" s="25" t="s">
        <v>13</v>
      </c>
      <c r="P9" s="26" t="n">
        <v>1</v>
      </c>
      <c r="Q9" s="27" t="n">
        <v>46297</v>
      </c>
      <c r="R9" s="25" t="s">
        <v>216</v>
      </c>
      <c r="S9" s="27" t="n">
        <v>46301</v>
      </c>
      <c r="T9" s="28" t="s">
        <v>217</v>
      </c>
      <c r="U9" s="18" t="s">
        <v>207</v>
      </c>
      <c r="V9" s="29" t="n">
        <v>45989</v>
      </c>
      <c r="W9" s="18" t="s">
        <v>218</v>
      </c>
      <c r="X9" s="23" t="s">
        <v>219</v>
      </c>
      <c r="Y9" s="18" t="s">
        <v>209</v>
      </c>
      <c r="Z9" s="18" t="s">
        <v>149</v>
      </c>
      <c r="AA9" s="18" t="s">
        <v>210</v>
      </c>
      <c r="AB9" s="18" t="s">
        <v>151</v>
      </c>
      <c r="AC9" s="18"/>
    </row>
    <row r="10" customFormat="false" ht="30" hidden="false" customHeight="true" outlineLevel="0" collapsed="false">
      <c r="A10" s="18" t="s">
        <v>220</v>
      </c>
      <c r="B10" s="19" t="n">
        <v>1</v>
      </c>
      <c r="C10" s="20" t="str">
        <f aca="false">IF(L10="","C",IF(L10&gt;=Lists!$I$2,"A",IF(L10&gt;=Lists!$I$3,"B","C")))</f>
        <v>A</v>
      </c>
      <c r="D10" s="21" t="s">
        <v>137</v>
      </c>
      <c r="E10" s="22" t="s">
        <v>221</v>
      </c>
      <c r="F10" s="18"/>
      <c r="G10" s="30" t="s">
        <v>153</v>
      </c>
      <c r="H10" s="18"/>
      <c r="I10" s="21" t="s">
        <v>222</v>
      </c>
      <c r="J10" s="18" t="s">
        <v>204</v>
      </c>
      <c r="K10" s="18" t="s">
        <v>42</v>
      </c>
      <c r="L10" s="24" t="n">
        <v>300000</v>
      </c>
      <c r="M10" s="19" t="n">
        <f aca="false">IF(G10="To be found",COUNTIF($E$2:$E$9999,E10),COUNTIF($G$2:$G$9999,G10))</f>
        <v>1</v>
      </c>
      <c r="N10" s="25" t="s">
        <v>223</v>
      </c>
      <c r="O10" s="25" t="s">
        <v>10</v>
      </c>
      <c r="P10" s="26" t="n">
        <v>1</v>
      </c>
      <c r="Q10" s="27" t="n">
        <v>46297</v>
      </c>
      <c r="R10" s="25" t="s">
        <v>224</v>
      </c>
      <c r="S10" s="27" t="n">
        <v>46300</v>
      </c>
      <c r="T10" s="28" t="s">
        <v>225</v>
      </c>
      <c r="U10" s="18" t="s">
        <v>226</v>
      </c>
      <c r="V10" s="29" t="n">
        <v>45940</v>
      </c>
      <c r="W10" s="18" t="s">
        <v>227</v>
      </c>
      <c r="X10" s="18"/>
      <c r="Y10" s="18" t="s">
        <v>228</v>
      </c>
      <c r="Z10" s="18" t="s">
        <v>229</v>
      </c>
      <c r="AA10" s="18" t="s">
        <v>230</v>
      </c>
      <c r="AB10" s="18" t="s">
        <v>151</v>
      </c>
      <c r="AC10" s="18"/>
    </row>
    <row r="11" customFormat="false" ht="30" hidden="false" customHeight="true" outlineLevel="0" collapsed="false">
      <c r="A11" s="18" t="s">
        <v>220</v>
      </c>
      <c r="B11" s="19" t="n">
        <v>1</v>
      </c>
      <c r="C11" s="20" t="str">
        <f aca="false">IF(L11="","C",IF(L11&gt;=Lists!$I$2,"A",IF(L11&gt;=Lists!$I$3,"B","C")))</f>
        <v>A</v>
      </c>
      <c r="D11" s="21" t="s">
        <v>97</v>
      </c>
      <c r="E11" s="22" t="s">
        <v>231</v>
      </c>
      <c r="F11" s="18" t="s">
        <v>232</v>
      </c>
      <c r="G11" s="23" t="s">
        <v>233</v>
      </c>
      <c r="H11" s="23" t="s">
        <v>234</v>
      </c>
      <c r="I11" s="21" t="s">
        <v>222</v>
      </c>
      <c r="J11" s="18" t="s">
        <v>204</v>
      </c>
      <c r="K11" s="18" t="s">
        <v>42</v>
      </c>
      <c r="L11" s="24" t="n">
        <v>300000</v>
      </c>
      <c r="M11" s="19" t="n">
        <f aca="false">IF(G11="To be found",COUNTIF($E$2:$E$9999,E11),COUNTIF($G$2:$G$9999,G11))</f>
        <v>1</v>
      </c>
      <c r="N11" s="25" t="s">
        <v>235</v>
      </c>
      <c r="O11" s="25" t="s">
        <v>10</v>
      </c>
      <c r="P11" s="26" t="n">
        <v>1</v>
      </c>
      <c r="Q11" s="27" t="n">
        <v>46297</v>
      </c>
      <c r="R11" s="25" t="s">
        <v>236</v>
      </c>
      <c r="S11" s="27" t="n">
        <v>46300</v>
      </c>
      <c r="T11" s="28" t="s">
        <v>237</v>
      </c>
      <c r="U11" s="18" t="s">
        <v>226</v>
      </c>
      <c r="V11" s="29" t="n">
        <v>45940</v>
      </c>
      <c r="W11" s="18" t="s">
        <v>238</v>
      </c>
      <c r="X11" s="23" t="s">
        <v>239</v>
      </c>
      <c r="Y11" s="18" t="s">
        <v>228</v>
      </c>
      <c r="Z11" s="18" t="s">
        <v>229</v>
      </c>
      <c r="AA11" s="18" t="s">
        <v>230</v>
      </c>
      <c r="AB11" s="18" t="s">
        <v>151</v>
      </c>
      <c r="AC11" s="18"/>
    </row>
    <row r="12" customFormat="false" ht="30" hidden="false" customHeight="true" outlineLevel="0" collapsed="false">
      <c r="A12" s="18" t="s">
        <v>240</v>
      </c>
      <c r="B12" s="19" t="n">
        <v>1</v>
      </c>
      <c r="C12" s="20" t="str">
        <f aca="false">IF(L12="","C",IF(L12&gt;=Lists!$I$2,"A",IF(L12&gt;=Lists!$I$3,"B","C")))</f>
        <v>C</v>
      </c>
      <c r="D12" s="21" t="s">
        <v>137</v>
      </c>
      <c r="E12" s="22" t="s">
        <v>241</v>
      </c>
      <c r="F12" s="18" t="s">
        <v>242</v>
      </c>
      <c r="G12" s="23" t="s">
        <v>243</v>
      </c>
      <c r="H12" s="23" t="s">
        <v>244</v>
      </c>
      <c r="I12" s="21" t="s">
        <v>245</v>
      </c>
      <c r="J12" s="18" t="s">
        <v>246</v>
      </c>
      <c r="K12" s="18" t="s">
        <v>42</v>
      </c>
      <c r="L12" s="24" t="n">
        <v>50000</v>
      </c>
      <c r="M12" s="19" t="n">
        <f aca="false">IF(G12="To be found",COUNTIF($E$2:$E$9999,E12),COUNTIF($G$2:$G$9999,G12))</f>
        <v>1</v>
      </c>
      <c r="N12" s="25" t="s">
        <v>247</v>
      </c>
      <c r="O12" s="25" t="s">
        <v>10</v>
      </c>
      <c r="P12" s="26" t="n">
        <v>1</v>
      </c>
      <c r="Q12" s="27" t="n">
        <v>46297</v>
      </c>
      <c r="R12" s="25" t="s">
        <v>248</v>
      </c>
      <c r="S12" s="27" t="n">
        <v>46300</v>
      </c>
      <c r="T12" s="28" t="s">
        <v>249</v>
      </c>
      <c r="U12" s="18" t="s">
        <v>250</v>
      </c>
      <c r="V12" s="29" t="n">
        <v>45947</v>
      </c>
      <c r="W12" s="18" t="s">
        <v>251</v>
      </c>
      <c r="X12" s="23" t="s">
        <v>252</v>
      </c>
      <c r="Y12" s="18" t="s">
        <v>253</v>
      </c>
      <c r="Z12" s="18" t="s">
        <v>254</v>
      </c>
      <c r="AA12" s="18" t="s">
        <v>255</v>
      </c>
      <c r="AB12" s="18" t="s">
        <v>151</v>
      </c>
      <c r="AC12" s="18"/>
    </row>
    <row r="13" customFormat="false" ht="30" hidden="false" customHeight="true" outlineLevel="0" collapsed="false">
      <c r="A13" s="18" t="s">
        <v>240</v>
      </c>
      <c r="B13" s="19" t="n">
        <v>1</v>
      </c>
      <c r="C13" s="20" t="str">
        <f aca="false">IF(L13="","C",IF(L13&gt;=Lists!$I$2,"A",IF(L13&gt;=Lists!$I$3,"B","C")))</f>
        <v>C</v>
      </c>
      <c r="D13" s="21" t="s">
        <v>97</v>
      </c>
      <c r="E13" s="22" t="s">
        <v>256</v>
      </c>
      <c r="F13" s="18" t="s">
        <v>257</v>
      </c>
      <c r="G13" s="23" t="s">
        <v>258</v>
      </c>
      <c r="H13" s="23" t="s">
        <v>259</v>
      </c>
      <c r="I13" s="21" t="s">
        <v>245</v>
      </c>
      <c r="J13" s="18" t="s">
        <v>246</v>
      </c>
      <c r="K13" s="18" t="s">
        <v>42</v>
      </c>
      <c r="L13" s="24" t="n">
        <v>50000</v>
      </c>
      <c r="M13" s="19" t="n">
        <f aca="false">IF(G13="To be found",COUNTIF($E$2:$E$9999,E13),COUNTIF($G$2:$G$9999,G13))</f>
        <v>1</v>
      </c>
      <c r="N13" s="25"/>
      <c r="O13" s="25" t="s">
        <v>8</v>
      </c>
      <c r="P13" s="26" t="n">
        <v>0</v>
      </c>
      <c r="Q13" s="27"/>
      <c r="R13" s="25"/>
      <c r="S13" s="27"/>
      <c r="T13" s="28"/>
      <c r="U13" s="18" t="s">
        <v>250</v>
      </c>
      <c r="V13" s="29" t="n">
        <v>45947</v>
      </c>
      <c r="W13" s="18" t="s">
        <v>260</v>
      </c>
      <c r="X13" s="18"/>
      <c r="Y13" s="18" t="s">
        <v>253</v>
      </c>
      <c r="Z13" s="18" t="s">
        <v>254</v>
      </c>
      <c r="AA13" s="18" t="s">
        <v>255</v>
      </c>
      <c r="AB13" s="18" t="s">
        <v>151</v>
      </c>
      <c r="AC13" s="18"/>
    </row>
    <row r="14" customFormat="false" ht="30" hidden="false" customHeight="true" outlineLevel="0" collapsed="false">
      <c r="A14" s="18" t="s">
        <v>261</v>
      </c>
      <c r="B14" s="19" t="n">
        <v>1</v>
      </c>
      <c r="C14" s="20" t="str">
        <f aca="false">IF(L14="","C",IF(L14&gt;=Lists!$I$2,"A",IF(L14&gt;=Lists!$I$3,"B","C")))</f>
        <v>A</v>
      </c>
      <c r="D14" s="21" t="s">
        <v>137</v>
      </c>
      <c r="E14" s="22" t="s">
        <v>262</v>
      </c>
      <c r="F14" s="18"/>
      <c r="G14" s="23" t="s">
        <v>263</v>
      </c>
      <c r="H14" s="18"/>
      <c r="I14" s="21" t="s">
        <v>264</v>
      </c>
      <c r="J14" s="18" t="s">
        <v>265</v>
      </c>
      <c r="K14" s="18" t="s">
        <v>42</v>
      </c>
      <c r="L14" s="24" t="n">
        <v>900000</v>
      </c>
      <c r="M14" s="19" t="n">
        <f aca="false">IF(G14="To be found",COUNTIF($E$2:$E$9999,E14),COUNTIF($G$2:$G$9999,G14))</f>
        <v>1</v>
      </c>
      <c r="N14" s="25"/>
      <c r="O14" s="25" t="s">
        <v>8</v>
      </c>
      <c r="P14" s="26" t="n">
        <v>0</v>
      </c>
      <c r="Q14" s="27"/>
      <c r="R14" s="25"/>
      <c r="S14" s="27"/>
      <c r="T14" s="28"/>
      <c r="U14" s="18" t="s">
        <v>266</v>
      </c>
      <c r="V14" s="29" t="n">
        <v>46003</v>
      </c>
      <c r="W14" s="18" t="s">
        <v>267</v>
      </c>
      <c r="X14" s="18"/>
      <c r="Y14" s="18" t="s">
        <v>268</v>
      </c>
      <c r="Z14" s="18" t="s">
        <v>149</v>
      </c>
      <c r="AA14" s="18" t="s">
        <v>269</v>
      </c>
      <c r="AB14" s="18" t="s">
        <v>151</v>
      </c>
      <c r="AC14" s="18"/>
    </row>
    <row r="15" customFormat="false" ht="30" hidden="false" customHeight="true" outlineLevel="0" collapsed="false">
      <c r="A15" s="18" t="s">
        <v>261</v>
      </c>
      <c r="B15" s="19" t="n">
        <v>1</v>
      </c>
      <c r="C15" s="20" t="str">
        <f aca="false">IF(L15="","C",IF(L15&gt;=Lists!$I$2,"A",IF(L15&gt;=Lists!$I$3,"B","C")))</f>
        <v>A</v>
      </c>
      <c r="D15" s="21" t="s">
        <v>97</v>
      </c>
      <c r="E15" s="22" t="s">
        <v>270</v>
      </c>
      <c r="F15" s="18" t="s">
        <v>271</v>
      </c>
      <c r="G15" s="23" t="s">
        <v>272</v>
      </c>
      <c r="H15" s="23" t="s">
        <v>273</v>
      </c>
      <c r="I15" s="21" t="s">
        <v>264</v>
      </c>
      <c r="J15" s="18" t="s">
        <v>265</v>
      </c>
      <c r="K15" s="18" t="s">
        <v>42</v>
      </c>
      <c r="L15" s="24" t="n">
        <v>900000</v>
      </c>
      <c r="M15" s="19" t="n">
        <f aca="false">IF(G15="To be found",COUNTIF($E$2:$E$9999,E15),COUNTIF($G$2:$G$9999,G15))</f>
        <v>1</v>
      </c>
      <c r="N15" s="25"/>
      <c r="O15" s="25" t="s">
        <v>8</v>
      </c>
      <c r="P15" s="26" t="n">
        <v>0</v>
      </c>
      <c r="Q15" s="27"/>
      <c r="R15" s="25"/>
      <c r="S15" s="27"/>
      <c r="T15" s="28"/>
      <c r="U15" s="18" t="s">
        <v>266</v>
      </c>
      <c r="V15" s="29" t="n">
        <v>46003</v>
      </c>
      <c r="W15" s="18" t="s">
        <v>274</v>
      </c>
      <c r="X15" s="23" t="s">
        <v>275</v>
      </c>
      <c r="Y15" s="18" t="s">
        <v>268</v>
      </c>
      <c r="Z15" s="18" t="s">
        <v>149</v>
      </c>
      <c r="AA15" s="18" t="s">
        <v>269</v>
      </c>
      <c r="AB15" s="18" t="s">
        <v>151</v>
      </c>
      <c r="AC15" s="18"/>
    </row>
    <row r="16" customFormat="false" ht="30" hidden="false" customHeight="true" outlineLevel="0" collapsed="false">
      <c r="A16" s="18" t="s">
        <v>276</v>
      </c>
      <c r="B16" s="19" t="n">
        <v>1</v>
      </c>
      <c r="C16" s="20" t="str">
        <f aca="false">IF(L16="","C",IF(L16&gt;=Lists!$I$2,"A",IF(L16&gt;=Lists!$I$3,"B","C")))</f>
        <v>A</v>
      </c>
      <c r="D16" s="21" t="s">
        <v>97</v>
      </c>
      <c r="E16" s="22" t="s">
        <v>277</v>
      </c>
      <c r="F16" s="18" t="s">
        <v>278</v>
      </c>
      <c r="G16" s="23" t="s">
        <v>279</v>
      </c>
      <c r="H16" s="18"/>
      <c r="I16" s="21" t="s">
        <v>280</v>
      </c>
      <c r="J16" s="18" t="s">
        <v>281</v>
      </c>
      <c r="K16" s="18" t="s">
        <v>42</v>
      </c>
      <c r="L16" s="24" t="n">
        <v>790000</v>
      </c>
      <c r="M16" s="19" t="n">
        <f aca="false">IF(G16="To be found",COUNTIF($E$2:$E$9999,E16),COUNTIF($G$2:$G$9999,G16))</f>
        <v>1</v>
      </c>
      <c r="N16" s="25"/>
      <c r="O16" s="25" t="s">
        <v>8</v>
      </c>
      <c r="P16" s="26" t="n">
        <v>0</v>
      </c>
      <c r="Q16" s="27"/>
      <c r="R16" s="25"/>
      <c r="S16" s="27"/>
      <c r="T16" s="28"/>
      <c r="U16" s="18" t="s">
        <v>282</v>
      </c>
      <c r="V16" s="29" t="n">
        <v>45919</v>
      </c>
      <c r="W16" s="18" t="s">
        <v>283</v>
      </c>
      <c r="X16" s="18"/>
      <c r="Y16" s="18" t="s">
        <v>284</v>
      </c>
      <c r="Z16" s="18" t="s">
        <v>229</v>
      </c>
      <c r="AA16" s="18" t="s">
        <v>285</v>
      </c>
      <c r="AB16" s="18" t="s">
        <v>151</v>
      </c>
      <c r="AC16" s="18"/>
    </row>
    <row r="17" customFormat="false" ht="30" hidden="false" customHeight="true" outlineLevel="0" collapsed="false">
      <c r="A17" s="18" t="s">
        <v>286</v>
      </c>
      <c r="B17" s="19" t="n">
        <v>1</v>
      </c>
      <c r="C17" s="20" t="str">
        <f aca="false">IF(L17="","C",IF(L17&gt;=Lists!$I$2,"A",IF(L17&gt;=Lists!$I$3,"B","C")))</f>
        <v>A</v>
      </c>
      <c r="D17" s="21" t="s">
        <v>137</v>
      </c>
      <c r="E17" s="22" t="s">
        <v>287</v>
      </c>
      <c r="F17" s="18" t="s">
        <v>288</v>
      </c>
      <c r="G17" s="23" t="s">
        <v>289</v>
      </c>
      <c r="H17" s="23" t="s">
        <v>290</v>
      </c>
      <c r="I17" s="21" t="s">
        <v>291</v>
      </c>
      <c r="J17" s="18" t="s">
        <v>182</v>
      </c>
      <c r="K17" s="18" t="s">
        <v>43</v>
      </c>
      <c r="L17" s="24" t="n">
        <v>500000</v>
      </c>
      <c r="M17" s="19" t="n">
        <f aca="false">IF(G17="To be found",COUNTIF($E$2:$E$9999,E17),COUNTIF($G$2:$G$9999,G17))</f>
        <v>1</v>
      </c>
      <c r="N17" s="25"/>
      <c r="O17" s="25" t="s">
        <v>8</v>
      </c>
      <c r="P17" s="26" t="n">
        <v>0</v>
      </c>
      <c r="Q17" s="27"/>
      <c r="R17" s="25"/>
      <c r="S17" s="27"/>
      <c r="T17" s="28"/>
      <c r="U17" s="18" t="s">
        <v>292</v>
      </c>
      <c r="V17" s="29" t="n">
        <v>45939</v>
      </c>
      <c r="W17" s="18" t="s">
        <v>293</v>
      </c>
      <c r="X17" s="23" t="s">
        <v>294</v>
      </c>
      <c r="Y17" s="18" t="s">
        <v>295</v>
      </c>
      <c r="Z17" s="18" t="s">
        <v>149</v>
      </c>
      <c r="AA17" s="18" t="s">
        <v>296</v>
      </c>
      <c r="AB17" s="18" t="s">
        <v>151</v>
      </c>
      <c r="AC17" s="18"/>
    </row>
    <row r="18" customFormat="false" ht="30" hidden="false" customHeight="true" outlineLevel="0" collapsed="false">
      <c r="A18" s="18" t="s">
        <v>286</v>
      </c>
      <c r="B18" s="19" t="n">
        <v>1</v>
      </c>
      <c r="C18" s="20" t="str">
        <f aca="false">IF(L18="","C",IF(L18&gt;=Lists!$I$2,"A",IF(L18&gt;=Lists!$I$3,"B","C")))</f>
        <v>A</v>
      </c>
      <c r="D18" s="21" t="s">
        <v>97</v>
      </c>
      <c r="E18" s="22" t="s">
        <v>297</v>
      </c>
      <c r="F18" s="18" t="s">
        <v>298</v>
      </c>
      <c r="G18" s="23" t="s">
        <v>299</v>
      </c>
      <c r="H18" s="23" t="s">
        <v>300</v>
      </c>
      <c r="I18" s="21" t="s">
        <v>291</v>
      </c>
      <c r="J18" s="18" t="s">
        <v>182</v>
      </c>
      <c r="K18" s="18" t="s">
        <v>43</v>
      </c>
      <c r="L18" s="24" t="n">
        <v>500000</v>
      </c>
      <c r="M18" s="19" t="n">
        <f aca="false">IF(G18="To be found",COUNTIF($E$2:$E$9999,E18),COUNTIF($G$2:$G$9999,G18))</f>
        <v>1</v>
      </c>
      <c r="N18" s="25"/>
      <c r="O18" s="25" t="s">
        <v>8</v>
      </c>
      <c r="P18" s="26" t="n">
        <v>0</v>
      </c>
      <c r="Q18" s="27"/>
      <c r="R18" s="25"/>
      <c r="S18" s="27"/>
      <c r="T18" s="28"/>
      <c r="U18" s="18" t="s">
        <v>292</v>
      </c>
      <c r="V18" s="29" t="n">
        <v>45939</v>
      </c>
      <c r="W18" s="18" t="s">
        <v>301</v>
      </c>
      <c r="X18" s="23" t="s">
        <v>302</v>
      </c>
      <c r="Y18" s="18" t="s">
        <v>295</v>
      </c>
      <c r="Z18" s="18" t="s">
        <v>149</v>
      </c>
      <c r="AA18" s="18" t="s">
        <v>296</v>
      </c>
      <c r="AB18" s="18" t="s">
        <v>151</v>
      </c>
      <c r="AC18" s="18"/>
    </row>
    <row r="19" customFormat="false" ht="30" hidden="false" customHeight="true" outlineLevel="0" collapsed="false">
      <c r="A19" s="18" t="s">
        <v>303</v>
      </c>
      <c r="B19" s="19" t="n">
        <v>1</v>
      </c>
      <c r="C19" s="20" t="str">
        <f aca="false">IF(L19="","C",IF(L19&gt;=Lists!$I$2,"A",IF(L19&gt;=Lists!$I$3,"B","C")))</f>
        <v>A</v>
      </c>
      <c r="D19" s="21" t="s">
        <v>137</v>
      </c>
      <c r="E19" s="22" t="s">
        <v>304</v>
      </c>
      <c r="F19" s="18"/>
      <c r="G19" s="30" t="s">
        <v>153</v>
      </c>
      <c r="H19" s="18"/>
      <c r="I19" s="21" t="s">
        <v>305</v>
      </c>
      <c r="J19" s="18" t="s">
        <v>306</v>
      </c>
      <c r="K19" s="18" t="s">
        <v>42</v>
      </c>
      <c r="L19" s="24" t="n">
        <v>300000</v>
      </c>
      <c r="M19" s="19" t="n">
        <f aca="false">IF(G19="To be found",COUNTIF($E$2:$E$9999,E19),COUNTIF($G$2:$G$9999,G19))</f>
        <v>1</v>
      </c>
      <c r="N19" s="25"/>
      <c r="O19" s="25" t="s">
        <v>8</v>
      </c>
      <c r="P19" s="26" t="n">
        <v>0</v>
      </c>
      <c r="Q19" s="27"/>
      <c r="R19" s="25"/>
      <c r="S19" s="27"/>
      <c r="T19" s="28"/>
      <c r="U19" s="18" t="s">
        <v>307</v>
      </c>
      <c r="V19" s="29" t="n">
        <v>46002</v>
      </c>
      <c r="W19" s="18" t="s">
        <v>308</v>
      </c>
      <c r="X19" s="18"/>
      <c r="Y19" s="18" t="s">
        <v>309</v>
      </c>
      <c r="Z19" s="18" t="s">
        <v>149</v>
      </c>
      <c r="AA19" s="18" t="s">
        <v>310</v>
      </c>
      <c r="AB19" s="18" t="s">
        <v>151</v>
      </c>
      <c r="AC19" s="18"/>
    </row>
    <row r="20" customFormat="false" ht="30" hidden="false" customHeight="true" outlineLevel="0" collapsed="false">
      <c r="A20" s="18" t="s">
        <v>303</v>
      </c>
      <c r="B20" s="19" t="n">
        <v>1</v>
      </c>
      <c r="C20" s="20" t="str">
        <f aca="false">IF(L20="","C",IF(L20&gt;=Lists!$I$2,"A",IF(L20&gt;=Lists!$I$3,"B","C")))</f>
        <v>A</v>
      </c>
      <c r="D20" s="21" t="s">
        <v>97</v>
      </c>
      <c r="E20" s="22" t="s">
        <v>311</v>
      </c>
      <c r="F20" s="18"/>
      <c r="G20" s="23" t="s">
        <v>312</v>
      </c>
      <c r="H20" s="23" t="s">
        <v>313</v>
      </c>
      <c r="I20" s="21" t="s">
        <v>305</v>
      </c>
      <c r="J20" s="18" t="s">
        <v>306</v>
      </c>
      <c r="K20" s="18" t="s">
        <v>42</v>
      </c>
      <c r="L20" s="24" t="n">
        <v>300000</v>
      </c>
      <c r="M20" s="19" t="n">
        <f aca="false">IF(G20="To be found",COUNTIF($E$2:$E$9999,E20),COUNTIF($G$2:$G$9999,G20))</f>
        <v>1</v>
      </c>
      <c r="N20" s="25"/>
      <c r="O20" s="25" t="s">
        <v>8</v>
      </c>
      <c r="P20" s="26" t="n">
        <v>0</v>
      </c>
      <c r="Q20" s="27"/>
      <c r="R20" s="25"/>
      <c r="S20" s="27"/>
      <c r="T20" s="28"/>
      <c r="U20" s="18" t="s">
        <v>307</v>
      </c>
      <c r="V20" s="29" t="n">
        <v>46002</v>
      </c>
      <c r="W20" s="18" t="s">
        <v>314</v>
      </c>
      <c r="X20" s="18"/>
      <c r="Y20" s="18" t="s">
        <v>309</v>
      </c>
      <c r="Z20" s="18" t="s">
        <v>149</v>
      </c>
      <c r="AA20" s="18" t="s">
        <v>310</v>
      </c>
      <c r="AB20" s="18" t="s">
        <v>151</v>
      </c>
      <c r="AC20" s="18"/>
    </row>
    <row r="21" customFormat="false" ht="30" hidden="false" customHeight="true" outlineLevel="0" collapsed="false">
      <c r="A21" s="18" t="s">
        <v>315</v>
      </c>
      <c r="B21" s="19" t="n">
        <v>1</v>
      </c>
      <c r="C21" s="20" t="str">
        <f aca="false">IF(L21="","C",IF(L21&gt;=Lists!$I$2,"A",IF(L21&gt;=Lists!$I$3,"B","C")))</f>
        <v>A</v>
      </c>
      <c r="D21" s="21" t="s">
        <v>137</v>
      </c>
      <c r="E21" s="22" t="s">
        <v>316</v>
      </c>
      <c r="F21" s="18"/>
      <c r="G21" s="23" t="s">
        <v>317</v>
      </c>
      <c r="H21" s="23" t="s">
        <v>318</v>
      </c>
      <c r="I21" s="21" t="s">
        <v>319</v>
      </c>
      <c r="J21" s="18" t="s">
        <v>320</v>
      </c>
      <c r="K21" s="18" t="s">
        <v>42</v>
      </c>
      <c r="L21" s="24" t="n">
        <v>580000</v>
      </c>
      <c r="M21" s="19" t="n">
        <f aca="false">IF(G21="To be found",COUNTIF($E$2:$E$9999,E21),COUNTIF($G$2:$G$9999,G21))</f>
        <v>1</v>
      </c>
      <c r="N21" s="25"/>
      <c r="O21" s="25" t="s">
        <v>8</v>
      </c>
      <c r="P21" s="26" t="n">
        <v>0</v>
      </c>
      <c r="Q21" s="27"/>
      <c r="R21" s="25"/>
      <c r="S21" s="27"/>
      <c r="T21" s="28"/>
      <c r="U21" s="18" t="s">
        <v>321</v>
      </c>
      <c r="V21" s="29" t="n">
        <v>45932</v>
      </c>
      <c r="W21" s="18" t="s">
        <v>322</v>
      </c>
      <c r="X21" s="23" t="s">
        <v>323</v>
      </c>
      <c r="Y21" s="18" t="s">
        <v>324</v>
      </c>
      <c r="Z21" s="18" t="s">
        <v>149</v>
      </c>
      <c r="AA21" s="18" t="s">
        <v>325</v>
      </c>
      <c r="AB21" s="18" t="s">
        <v>151</v>
      </c>
      <c r="AC21" s="18"/>
    </row>
    <row r="22" customFormat="false" ht="30" hidden="false" customHeight="true" outlineLevel="0" collapsed="false">
      <c r="A22" s="18" t="s">
        <v>315</v>
      </c>
      <c r="B22" s="19" t="n">
        <v>1</v>
      </c>
      <c r="C22" s="20" t="str">
        <f aca="false">IF(L22="","C",IF(L22&gt;=Lists!$I$2,"A",IF(L22&gt;=Lists!$I$3,"B","C")))</f>
        <v>A</v>
      </c>
      <c r="D22" s="21" t="s">
        <v>326</v>
      </c>
      <c r="E22" s="22" t="s">
        <v>327</v>
      </c>
      <c r="F22" s="18"/>
      <c r="G22" s="23" t="s">
        <v>328</v>
      </c>
      <c r="H22" s="23" t="s">
        <v>329</v>
      </c>
      <c r="I22" s="21" t="s">
        <v>319</v>
      </c>
      <c r="J22" s="18" t="s">
        <v>320</v>
      </c>
      <c r="K22" s="18" t="s">
        <v>42</v>
      </c>
      <c r="L22" s="24" t="n">
        <v>580000</v>
      </c>
      <c r="M22" s="19" t="n">
        <f aca="false">IF(G22="To be found",COUNTIF($E$2:$E$9999,E22),COUNTIF($G$2:$G$9999,G22))</f>
        <v>1</v>
      </c>
      <c r="N22" s="25"/>
      <c r="O22" s="25" t="s">
        <v>8</v>
      </c>
      <c r="P22" s="26" t="n">
        <v>0</v>
      </c>
      <c r="Q22" s="27"/>
      <c r="R22" s="25"/>
      <c r="S22" s="27"/>
      <c r="T22" s="28"/>
      <c r="U22" s="18" t="s">
        <v>321</v>
      </c>
      <c r="V22" s="29" t="n">
        <v>45932</v>
      </c>
      <c r="W22" s="18" t="s">
        <v>330</v>
      </c>
      <c r="X22" s="23" t="s">
        <v>331</v>
      </c>
      <c r="Y22" s="18" t="s">
        <v>324</v>
      </c>
      <c r="Z22" s="18" t="s">
        <v>149</v>
      </c>
      <c r="AA22" s="18" t="s">
        <v>325</v>
      </c>
      <c r="AB22" s="18" t="s">
        <v>151</v>
      </c>
      <c r="AC22" s="18"/>
    </row>
    <row r="23" customFormat="false" ht="30" hidden="false" customHeight="true" outlineLevel="0" collapsed="false">
      <c r="A23" s="18" t="s">
        <v>332</v>
      </c>
      <c r="B23" s="19" t="n">
        <v>1</v>
      </c>
      <c r="C23" s="20" t="str">
        <f aca="false">IF(L23="","C",IF(L23&gt;=Lists!$I$2,"A",IF(L23&gt;=Lists!$I$3,"B","C")))</f>
        <v>A</v>
      </c>
      <c r="D23" s="21" t="s">
        <v>137</v>
      </c>
      <c r="E23" s="22" t="s">
        <v>333</v>
      </c>
      <c r="F23" s="18" t="s">
        <v>334</v>
      </c>
      <c r="G23" s="23" t="s">
        <v>335</v>
      </c>
      <c r="H23" s="23" t="s">
        <v>336</v>
      </c>
      <c r="I23" s="21" t="s">
        <v>337</v>
      </c>
      <c r="J23" s="18" t="s">
        <v>338</v>
      </c>
      <c r="K23" s="18" t="s">
        <v>43</v>
      </c>
      <c r="L23" s="24" t="n">
        <v>920000</v>
      </c>
      <c r="M23" s="19" t="n">
        <f aca="false">IF(G23="To be found",COUNTIF($E$2:$E$9999,E23),COUNTIF($G$2:$G$9999,G23))</f>
        <v>1</v>
      </c>
      <c r="N23" s="25"/>
      <c r="O23" s="25" t="s">
        <v>8</v>
      </c>
      <c r="P23" s="26" t="n">
        <v>0</v>
      </c>
      <c r="Q23" s="27"/>
      <c r="R23" s="25"/>
      <c r="S23" s="27"/>
      <c r="T23" s="28"/>
      <c r="U23" s="18" t="s">
        <v>339</v>
      </c>
      <c r="V23" s="29" t="n">
        <v>45735</v>
      </c>
      <c r="W23" s="18" t="s">
        <v>340</v>
      </c>
      <c r="X23" s="23" t="s">
        <v>341</v>
      </c>
      <c r="Y23" s="18" t="s">
        <v>342</v>
      </c>
      <c r="Z23" s="18" t="s">
        <v>229</v>
      </c>
      <c r="AA23" s="18" t="s">
        <v>343</v>
      </c>
      <c r="AB23" s="18" t="s">
        <v>151</v>
      </c>
      <c r="AC23" s="18"/>
    </row>
    <row r="24" customFormat="false" ht="30" hidden="false" customHeight="true" outlineLevel="0" collapsed="false">
      <c r="A24" s="18" t="s">
        <v>332</v>
      </c>
      <c r="B24" s="19" t="n">
        <v>1</v>
      </c>
      <c r="C24" s="20" t="str">
        <f aca="false">IF(L24="","C",IF(L24&gt;=Lists!$I$2,"A",IF(L24&gt;=Lists!$I$3,"B","C")))</f>
        <v>A</v>
      </c>
      <c r="D24" s="21" t="s">
        <v>97</v>
      </c>
      <c r="E24" s="22" t="s">
        <v>344</v>
      </c>
      <c r="F24" s="18"/>
      <c r="G24" s="23" t="s">
        <v>345</v>
      </c>
      <c r="H24" s="23" t="s">
        <v>346</v>
      </c>
      <c r="I24" s="21" t="s">
        <v>337</v>
      </c>
      <c r="J24" s="18" t="s">
        <v>338</v>
      </c>
      <c r="K24" s="18" t="s">
        <v>43</v>
      </c>
      <c r="L24" s="24" t="n">
        <v>920000</v>
      </c>
      <c r="M24" s="19" t="n">
        <f aca="false">IF(G24="To be found",COUNTIF($E$2:$E$9999,E24),COUNTIF($G$2:$G$9999,G24))</f>
        <v>1</v>
      </c>
      <c r="N24" s="25"/>
      <c r="O24" s="25" t="s">
        <v>8</v>
      </c>
      <c r="P24" s="26" t="n">
        <v>0</v>
      </c>
      <c r="Q24" s="27"/>
      <c r="R24" s="25"/>
      <c r="S24" s="27"/>
      <c r="T24" s="28"/>
      <c r="U24" s="18" t="s">
        <v>339</v>
      </c>
      <c r="V24" s="29" t="n">
        <v>45735</v>
      </c>
      <c r="W24" s="18" t="s">
        <v>347</v>
      </c>
      <c r="X24" s="23" t="s">
        <v>348</v>
      </c>
      <c r="Y24" s="18" t="s">
        <v>342</v>
      </c>
      <c r="Z24" s="18" t="s">
        <v>229</v>
      </c>
      <c r="AA24" s="18" t="s">
        <v>343</v>
      </c>
      <c r="AB24" s="18" t="s">
        <v>151</v>
      </c>
      <c r="AC24" s="18"/>
    </row>
    <row r="25" customFormat="false" ht="30" hidden="false" customHeight="true" outlineLevel="0" collapsed="false">
      <c r="A25" s="18" t="s">
        <v>349</v>
      </c>
      <c r="B25" s="19" t="n">
        <v>1</v>
      </c>
      <c r="C25" s="20" t="str">
        <f aca="false">IF(L25="","C",IF(L25&gt;=Lists!$I$2,"A",IF(L25&gt;=Lists!$I$3,"B","C")))</f>
        <v>A</v>
      </c>
      <c r="D25" s="21" t="s">
        <v>137</v>
      </c>
      <c r="E25" s="22" t="s">
        <v>350</v>
      </c>
      <c r="F25" s="18"/>
      <c r="G25" s="23" t="s">
        <v>351</v>
      </c>
      <c r="H25" s="18"/>
      <c r="I25" s="21" t="s">
        <v>352</v>
      </c>
      <c r="J25" s="18" t="s">
        <v>353</v>
      </c>
      <c r="K25" s="18" t="s">
        <v>43</v>
      </c>
      <c r="L25" s="24" t="n">
        <v>500000</v>
      </c>
      <c r="M25" s="19" t="n">
        <f aca="false">IF(G25="To be found",COUNTIF($E$2:$E$9999,E25),COUNTIF($G$2:$G$9999,G25))</f>
        <v>2</v>
      </c>
      <c r="N25" s="25"/>
      <c r="O25" s="25" t="s">
        <v>8</v>
      </c>
      <c r="P25" s="26" t="n">
        <v>0</v>
      </c>
      <c r="Q25" s="27"/>
      <c r="R25" s="25"/>
      <c r="S25" s="27"/>
      <c r="T25" s="28"/>
      <c r="U25" s="18" t="s">
        <v>354</v>
      </c>
      <c r="V25" s="29" t="n">
        <v>45845</v>
      </c>
      <c r="W25" s="18" t="s">
        <v>355</v>
      </c>
      <c r="X25" s="18"/>
      <c r="Y25" s="18" t="s">
        <v>356</v>
      </c>
      <c r="Z25" s="18" t="s">
        <v>357</v>
      </c>
      <c r="AA25" s="18" t="s">
        <v>358</v>
      </c>
      <c r="AB25" s="18" t="s">
        <v>151</v>
      </c>
      <c r="AC25" s="18"/>
    </row>
    <row r="26" customFormat="false" ht="30" hidden="false" customHeight="true" outlineLevel="0" collapsed="false">
      <c r="A26" s="18" t="s">
        <v>349</v>
      </c>
      <c r="B26" s="19" t="n">
        <v>1</v>
      </c>
      <c r="C26" s="20" t="str">
        <f aca="false">IF(L26="","C",IF(L26&gt;=Lists!$I$2,"A",IF(L26&gt;=Lists!$I$3,"B","C")))</f>
        <v>A</v>
      </c>
      <c r="D26" s="21" t="s">
        <v>97</v>
      </c>
      <c r="E26" s="22" t="s">
        <v>359</v>
      </c>
      <c r="F26" s="18" t="s">
        <v>360</v>
      </c>
      <c r="G26" s="23" t="s">
        <v>351</v>
      </c>
      <c r="H26" s="23" t="s">
        <v>361</v>
      </c>
      <c r="I26" s="21" t="s">
        <v>352</v>
      </c>
      <c r="J26" s="18" t="s">
        <v>353</v>
      </c>
      <c r="K26" s="18" t="s">
        <v>43</v>
      </c>
      <c r="L26" s="24" t="n">
        <v>500000</v>
      </c>
      <c r="M26" s="19" t="n">
        <f aca="false">IF(G26="To be found",COUNTIF($E$2:$E$9999,E26),COUNTIF($G$2:$G$9999,G26))</f>
        <v>2</v>
      </c>
      <c r="N26" s="25"/>
      <c r="O26" s="25" t="s">
        <v>8</v>
      </c>
      <c r="P26" s="26" t="n">
        <v>0</v>
      </c>
      <c r="Q26" s="27"/>
      <c r="R26" s="25"/>
      <c r="S26" s="27"/>
      <c r="T26" s="28"/>
      <c r="U26" s="18" t="s">
        <v>354</v>
      </c>
      <c r="V26" s="29" t="n">
        <v>45845</v>
      </c>
      <c r="W26" s="18" t="s">
        <v>362</v>
      </c>
      <c r="X26" s="23" t="s">
        <v>363</v>
      </c>
      <c r="Y26" s="18" t="s">
        <v>356</v>
      </c>
      <c r="Z26" s="18" t="s">
        <v>357</v>
      </c>
      <c r="AA26" s="18" t="s">
        <v>358</v>
      </c>
      <c r="AB26" s="18" t="s">
        <v>151</v>
      </c>
      <c r="AC26" s="18"/>
    </row>
    <row r="27" customFormat="false" ht="30" hidden="false" customHeight="true" outlineLevel="0" collapsed="false">
      <c r="A27" s="18" t="s">
        <v>364</v>
      </c>
      <c r="B27" s="19" t="n">
        <v>1</v>
      </c>
      <c r="C27" s="20" t="str">
        <f aca="false">IF(L27="","C",IF(L27&gt;=Lists!$I$2,"A",IF(L27&gt;=Lists!$I$3,"B","C")))</f>
        <v>A</v>
      </c>
      <c r="D27" s="21" t="s">
        <v>137</v>
      </c>
      <c r="E27" s="22" t="s">
        <v>365</v>
      </c>
      <c r="F27" s="18"/>
      <c r="G27" s="23" t="s">
        <v>366</v>
      </c>
      <c r="H27" s="23" t="s">
        <v>367</v>
      </c>
      <c r="I27" s="21" t="s">
        <v>368</v>
      </c>
      <c r="J27" s="18" t="s">
        <v>369</v>
      </c>
      <c r="K27" s="18" t="s">
        <v>43</v>
      </c>
      <c r="L27" s="24" t="n">
        <v>12000000</v>
      </c>
      <c r="M27" s="19" t="n">
        <f aca="false">IF(G27="To be found",COUNTIF($E$2:$E$9999,E27),COUNTIF($G$2:$G$9999,G27))</f>
        <v>2</v>
      </c>
      <c r="N27" s="25"/>
      <c r="O27" s="25" t="s">
        <v>8</v>
      </c>
      <c r="P27" s="26" t="n">
        <v>0</v>
      </c>
      <c r="Q27" s="27"/>
      <c r="R27" s="25"/>
      <c r="S27" s="27"/>
      <c r="T27" s="28"/>
      <c r="U27" s="18" t="s">
        <v>370</v>
      </c>
      <c r="V27" s="29" t="n">
        <v>45251</v>
      </c>
      <c r="W27" s="18" t="s">
        <v>371</v>
      </c>
      <c r="X27" s="23" t="s">
        <v>372</v>
      </c>
      <c r="Y27" s="18" t="s">
        <v>373</v>
      </c>
      <c r="Z27" s="18" t="s">
        <v>254</v>
      </c>
      <c r="AA27" s="18" t="s">
        <v>374</v>
      </c>
      <c r="AB27" s="18" t="s">
        <v>151</v>
      </c>
      <c r="AC27" s="18" t="s">
        <v>375</v>
      </c>
    </row>
    <row r="28" customFormat="false" ht="30" hidden="false" customHeight="true" outlineLevel="0" collapsed="false">
      <c r="A28" s="18" t="s">
        <v>364</v>
      </c>
      <c r="B28" s="19" t="n">
        <v>1</v>
      </c>
      <c r="C28" s="20" t="str">
        <f aca="false">IF(L28="","C",IF(L28&gt;=Lists!$I$2,"A",IF(L28&gt;=Lists!$I$3,"B","C")))</f>
        <v>A</v>
      </c>
      <c r="D28" s="21" t="s">
        <v>137</v>
      </c>
      <c r="E28" s="22" t="s">
        <v>376</v>
      </c>
      <c r="F28" s="18"/>
      <c r="G28" s="23" t="s">
        <v>377</v>
      </c>
      <c r="H28" s="23" t="s">
        <v>378</v>
      </c>
      <c r="I28" s="21" t="s">
        <v>368</v>
      </c>
      <c r="J28" s="18" t="s">
        <v>369</v>
      </c>
      <c r="K28" s="18" t="s">
        <v>43</v>
      </c>
      <c r="L28" s="24" t="n">
        <v>12000000</v>
      </c>
      <c r="M28" s="19" t="n">
        <f aca="false">IF(G28="To be found",COUNTIF($E$2:$E$9999,E28),COUNTIF($G$2:$G$9999,G28))</f>
        <v>5</v>
      </c>
      <c r="N28" s="25"/>
      <c r="O28" s="25" t="s">
        <v>8</v>
      </c>
      <c r="P28" s="26" t="n">
        <v>0</v>
      </c>
      <c r="Q28" s="27"/>
      <c r="R28" s="25"/>
      <c r="S28" s="27"/>
      <c r="T28" s="28"/>
      <c r="U28" s="18" t="s">
        <v>370</v>
      </c>
      <c r="V28" s="29" t="n">
        <v>45251</v>
      </c>
      <c r="W28" s="18" t="s">
        <v>379</v>
      </c>
      <c r="X28" s="23" t="s">
        <v>372</v>
      </c>
      <c r="Y28" s="18" t="s">
        <v>373</v>
      </c>
      <c r="Z28" s="18" t="s">
        <v>254</v>
      </c>
      <c r="AA28" s="18" t="s">
        <v>374</v>
      </c>
      <c r="AB28" s="18" t="s">
        <v>151</v>
      </c>
      <c r="AC28" s="18" t="s">
        <v>375</v>
      </c>
    </row>
    <row r="29" customFormat="false" ht="30" hidden="false" customHeight="true" outlineLevel="0" collapsed="false">
      <c r="A29" s="18" t="s">
        <v>364</v>
      </c>
      <c r="B29" s="19" t="n">
        <v>1</v>
      </c>
      <c r="C29" s="20" t="str">
        <f aca="false">IF(L29="","C",IF(L29&gt;=Lists!$I$2,"A",IF(L29&gt;=Lists!$I$3,"B","C")))</f>
        <v>A</v>
      </c>
      <c r="D29" s="21" t="s">
        <v>137</v>
      </c>
      <c r="E29" s="22" t="s">
        <v>380</v>
      </c>
      <c r="F29" s="18"/>
      <c r="G29" s="23" t="s">
        <v>381</v>
      </c>
      <c r="H29" s="18"/>
      <c r="I29" s="21" t="s">
        <v>368</v>
      </c>
      <c r="J29" s="18" t="s">
        <v>369</v>
      </c>
      <c r="K29" s="18" t="s">
        <v>43</v>
      </c>
      <c r="L29" s="24" t="n">
        <v>12000000</v>
      </c>
      <c r="M29" s="19" t="n">
        <f aca="false">IF(G29="To be found",COUNTIF($E$2:$E$9999,E29),COUNTIF($G$2:$G$9999,G29))</f>
        <v>2</v>
      </c>
      <c r="N29" s="25"/>
      <c r="O29" s="25" t="s">
        <v>8</v>
      </c>
      <c r="P29" s="26" t="n">
        <v>0</v>
      </c>
      <c r="Q29" s="27"/>
      <c r="R29" s="25"/>
      <c r="S29" s="27"/>
      <c r="T29" s="28"/>
      <c r="U29" s="18" t="s">
        <v>370</v>
      </c>
      <c r="V29" s="29" t="n">
        <v>45251</v>
      </c>
      <c r="W29" s="18"/>
      <c r="X29" s="18"/>
      <c r="Y29" s="18" t="s">
        <v>373</v>
      </c>
      <c r="Z29" s="18" t="s">
        <v>254</v>
      </c>
      <c r="AA29" s="18" t="s">
        <v>374</v>
      </c>
      <c r="AB29" s="18" t="s">
        <v>112</v>
      </c>
      <c r="AC29" s="18" t="s">
        <v>375</v>
      </c>
    </row>
    <row r="30" customFormat="false" ht="30" hidden="false" customHeight="true" outlineLevel="0" collapsed="false">
      <c r="A30" s="18" t="s">
        <v>364</v>
      </c>
      <c r="B30" s="19" t="n">
        <v>1</v>
      </c>
      <c r="C30" s="20" t="str">
        <f aca="false">IF(L30="","C",IF(L30&gt;=Lists!$I$2,"A",IF(L30&gt;=Lists!$I$3,"B","C")))</f>
        <v>A</v>
      </c>
      <c r="D30" s="21" t="s">
        <v>97</v>
      </c>
      <c r="E30" s="22" t="s">
        <v>382</v>
      </c>
      <c r="F30" s="18"/>
      <c r="G30" s="23" t="s">
        <v>383</v>
      </c>
      <c r="H30" s="18"/>
      <c r="I30" s="21" t="s">
        <v>368</v>
      </c>
      <c r="J30" s="18" t="s">
        <v>369</v>
      </c>
      <c r="K30" s="18" t="s">
        <v>43</v>
      </c>
      <c r="L30" s="24" t="n">
        <v>12000000</v>
      </c>
      <c r="M30" s="19" t="n">
        <f aca="false">IF(G30="To be found",COUNTIF($E$2:$E$9999,E30),COUNTIF($G$2:$G$9999,G30))</f>
        <v>2</v>
      </c>
      <c r="N30" s="25"/>
      <c r="O30" s="25" t="s">
        <v>8</v>
      </c>
      <c r="P30" s="26" t="n">
        <v>0</v>
      </c>
      <c r="Q30" s="27"/>
      <c r="R30" s="25"/>
      <c r="S30" s="27"/>
      <c r="T30" s="28"/>
      <c r="U30" s="18" t="s">
        <v>370</v>
      </c>
      <c r="V30" s="29" t="n">
        <v>45251</v>
      </c>
      <c r="W30" s="18"/>
      <c r="X30" s="18"/>
      <c r="Y30" s="18" t="s">
        <v>373</v>
      </c>
      <c r="Z30" s="18" t="s">
        <v>254</v>
      </c>
      <c r="AA30" s="18" t="s">
        <v>374</v>
      </c>
      <c r="AB30" s="18" t="s">
        <v>112</v>
      </c>
      <c r="AC30" s="18" t="s">
        <v>375</v>
      </c>
    </row>
    <row r="31" customFormat="false" ht="30" hidden="false" customHeight="true" outlineLevel="0" collapsed="false">
      <c r="A31" s="18" t="s">
        <v>384</v>
      </c>
      <c r="B31" s="19" t="n">
        <v>1</v>
      </c>
      <c r="C31" s="20" t="str">
        <f aca="false">IF(L31="","C",IF(L31&gt;=Lists!$I$2,"A",IF(L31&gt;=Lists!$I$3,"B","C")))</f>
        <v>C</v>
      </c>
      <c r="D31" s="21" t="s">
        <v>137</v>
      </c>
      <c r="E31" s="22" t="s">
        <v>385</v>
      </c>
      <c r="F31" s="18"/>
      <c r="G31" s="23" t="s">
        <v>386</v>
      </c>
      <c r="H31" s="18"/>
      <c r="I31" s="21" t="s">
        <v>387</v>
      </c>
      <c r="J31" s="18" t="s">
        <v>143</v>
      </c>
      <c r="K31" s="18" t="s">
        <v>43</v>
      </c>
      <c r="L31" s="24" t="n">
        <v>50000</v>
      </c>
      <c r="M31" s="19" t="n">
        <f aca="false">IF(G31="To be found",COUNTIF($E$2:$E$9999,E31),COUNTIF($G$2:$G$9999,G31))</f>
        <v>3</v>
      </c>
      <c r="N31" s="25"/>
      <c r="O31" s="25" t="s">
        <v>8</v>
      </c>
      <c r="P31" s="26" t="n">
        <v>0</v>
      </c>
      <c r="Q31" s="27"/>
      <c r="R31" s="25"/>
      <c r="S31" s="27"/>
      <c r="T31" s="28"/>
      <c r="U31" s="18" t="s">
        <v>388</v>
      </c>
      <c r="V31" s="29" t="n">
        <v>45854</v>
      </c>
      <c r="W31" s="18" t="s">
        <v>389</v>
      </c>
      <c r="X31" s="23" t="s">
        <v>390</v>
      </c>
      <c r="Y31" s="18" t="s">
        <v>389</v>
      </c>
      <c r="Z31" s="18" t="s">
        <v>149</v>
      </c>
      <c r="AA31" s="18" t="s">
        <v>387</v>
      </c>
      <c r="AB31" s="18" t="s">
        <v>151</v>
      </c>
      <c r="AC31" s="18"/>
    </row>
    <row r="32" customFormat="false" ht="30" hidden="false" customHeight="true" outlineLevel="0" collapsed="false">
      <c r="A32" s="18" t="s">
        <v>384</v>
      </c>
      <c r="B32" s="19" t="n">
        <v>1</v>
      </c>
      <c r="C32" s="20" t="str">
        <f aca="false">IF(L32="","C",IF(L32&gt;=Lists!$I$2,"A",IF(L32&gt;=Lists!$I$3,"B","C")))</f>
        <v>C</v>
      </c>
      <c r="D32" s="21" t="s">
        <v>97</v>
      </c>
      <c r="E32" s="22" t="s">
        <v>391</v>
      </c>
      <c r="F32" s="18" t="s">
        <v>392</v>
      </c>
      <c r="G32" s="23" t="s">
        <v>393</v>
      </c>
      <c r="H32" s="23" t="s">
        <v>394</v>
      </c>
      <c r="I32" s="21" t="s">
        <v>387</v>
      </c>
      <c r="J32" s="18" t="s">
        <v>143</v>
      </c>
      <c r="K32" s="18" t="s">
        <v>43</v>
      </c>
      <c r="L32" s="24" t="n">
        <v>50000</v>
      </c>
      <c r="M32" s="19" t="n">
        <f aca="false">IF(G32="To be found",COUNTIF($E$2:$E$9999,E32),COUNTIF($G$2:$G$9999,G32))</f>
        <v>2</v>
      </c>
      <c r="N32" s="25"/>
      <c r="O32" s="25" t="s">
        <v>8</v>
      </c>
      <c r="P32" s="26" t="n">
        <v>0</v>
      </c>
      <c r="Q32" s="27"/>
      <c r="R32" s="25"/>
      <c r="S32" s="27"/>
      <c r="T32" s="28"/>
      <c r="U32" s="18" t="s">
        <v>388</v>
      </c>
      <c r="V32" s="29" t="n">
        <v>45854</v>
      </c>
      <c r="W32" s="18" t="s">
        <v>395</v>
      </c>
      <c r="X32" s="23" t="s">
        <v>396</v>
      </c>
      <c r="Y32" s="18" t="s">
        <v>389</v>
      </c>
      <c r="Z32" s="18" t="s">
        <v>149</v>
      </c>
      <c r="AA32" s="18" t="s">
        <v>387</v>
      </c>
      <c r="AB32" s="18" t="s">
        <v>151</v>
      </c>
      <c r="AC32" s="18"/>
    </row>
    <row r="33" customFormat="false" ht="30" hidden="false" customHeight="true" outlineLevel="0" collapsed="false">
      <c r="A33" s="18" t="s">
        <v>397</v>
      </c>
      <c r="B33" s="19" t="n">
        <v>1</v>
      </c>
      <c r="C33" s="20" t="str">
        <f aca="false">IF(L33="","C",IF(L33&gt;=Lists!$I$2,"A",IF(L33&gt;=Lists!$I$3,"B","C")))</f>
        <v>B</v>
      </c>
      <c r="D33" s="21" t="s">
        <v>137</v>
      </c>
      <c r="E33" s="22" t="s">
        <v>398</v>
      </c>
      <c r="F33" s="18" t="s">
        <v>399</v>
      </c>
      <c r="G33" s="23" t="s">
        <v>377</v>
      </c>
      <c r="H33" s="23" t="s">
        <v>378</v>
      </c>
      <c r="I33" s="21" t="s">
        <v>400</v>
      </c>
      <c r="J33" s="18" t="s">
        <v>369</v>
      </c>
      <c r="K33" s="18" t="s">
        <v>43</v>
      </c>
      <c r="L33" s="24" t="n">
        <v>200000</v>
      </c>
      <c r="M33" s="19" t="n">
        <f aca="false">IF(G33="To be found",COUNTIF($E$2:$E$9999,E33),COUNTIF($G$2:$G$9999,G33))</f>
        <v>5</v>
      </c>
      <c r="N33" s="25"/>
      <c r="O33" s="25" t="s">
        <v>8</v>
      </c>
      <c r="P33" s="26" t="n">
        <v>0</v>
      </c>
      <c r="Q33" s="27"/>
      <c r="R33" s="25"/>
      <c r="S33" s="27"/>
      <c r="T33" s="28"/>
      <c r="U33" s="18" t="s">
        <v>401</v>
      </c>
      <c r="V33" s="29" t="n">
        <v>45854</v>
      </c>
      <c r="W33" s="18" t="s">
        <v>402</v>
      </c>
      <c r="X33" s="23" t="s">
        <v>372</v>
      </c>
      <c r="Y33" s="18" t="s">
        <v>373</v>
      </c>
      <c r="Z33" s="18" t="s">
        <v>254</v>
      </c>
      <c r="AA33" s="18" t="s">
        <v>403</v>
      </c>
      <c r="AB33" s="18" t="s">
        <v>151</v>
      </c>
      <c r="AC33" s="18"/>
    </row>
    <row r="34" customFormat="false" ht="30" hidden="false" customHeight="true" outlineLevel="0" collapsed="false">
      <c r="A34" s="18" t="s">
        <v>397</v>
      </c>
      <c r="B34" s="19" t="n">
        <v>1</v>
      </c>
      <c r="C34" s="20" t="str">
        <f aca="false">IF(L34="","C",IF(L34&gt;=Lists!$I$2,"A",IF(L34&gt;=Lists!$I$3,"B","C")))</f>
        <v>B</v>
      </c>
      <c r="D34" s="21" t="s">
        <v>97</v>
      </c>
      <c r="E34" s="22" t="s">
        <v>404</v>
      </c>
      <c r="F34" s="18" t="s">
        <v>405</v>
      </c>
      <c r="G34" s="23" t="s">
        <v>406</v>
      </c>
      <c r="H34" s="23" t="s">
        <v>407</v>
      </c>
      <c r="I34" s="21" t="s">
        <v>400</v>
      </c>
      <c r="J34" s="18" t="s">
        <v>369</v>
      </c>
      <c r="K34" s="18" t="s">
        <v>43</v>
      </c>
      <c r="L34" s="24" t="n">
        <v>200000</v>
      </c>
      <c r="M34" s="19" t="n">
        <f aca="false">IF(G34="To be found",COUNTIF($E$2:$E$9999,E34),COUNTIF($G$2:$G$9999,G34))</f>
        <v>1</v>
      </c>
      <c r="N34" s="25"/>
      <c r="O34" s="25" t="s">
        <v>8</v>
      </c>
      <c r="P34" s="26" t="n">
        <v>0</v>
      </c>
      <c r="Q34" s="27"/>
      <c r="R34" s="25"/>
      <c r="S34" s="27"/>
      <c r="T34" s="28"/>
      <c r="U34" s="18" t="s">
        <v>401</v>
      </c>
      <c r="V34" s="29" t="n">
        <v>45854</v>
      </c>
      <c r="W34" s="18" t="s">
        <v>408</v>
      </c>
      <c r="X34" s="23" t="s">
        <v>409</v>
      </c>
      <c r="Y34" s="18" t="s">
        <v>373</v>
      </c>
      <c r="Z34" s="18" t="s">
        <v>254</v>
      </c>
      <c r="AA34" s="18" t="s">
        <v>403</v>
      </c>
      <c r="AB34" s="18" t="s">
        <v>151</v>
      </c>
      <c r="AC34" s="18"/>
    </row>
    <row r="35" customFormat="false" ht="30" hidden="false" customHeight="true" outlineLevel="0" collapsed="false">
      <c r="A35" s="18" t="s">
        <v>410</v>
      </c>
      <c r="B35" s="19" t="n">
        <v>1</v>
      </c>
      <c r="C35" s="20" t="str">
        <f aca="false">IF(L35="","C",IF(L35&gt;=Lists!$I$2,"A",IF(L35&gt;=Lists!$I$3,"B","C")))</f>
        <v>B</v>
      </c>
      <c r="D35" s="21" t="s">
        <v>137</v>
      </c>
      <c r="E35" s="22" t="s">
        <v>411</v>
      </c>
      <c r="F35" s="18" t="s">
        <v>412</v>
      </c>
      <c r="G35" s="23" t="s">
        <v>413</v>
      </c>
      <c r="H35" s="23" t="s">
        <v>414</v>
      </c>
      <c r="I35" s="21" t="s">
        <v>415</v>
      </c>
      <c r="J35" s="18" t="s">
        <v>416</v>
      </c>
      <c r="K35" s="18" t="s">
        <v>43</v>
      </c>
      <c r="L35" s="24" t="n">
        <v>120000</v>
      </c>
      <c r="M35" s="19" t="n">
        <f aca="false">IF(G35="To be found",COUNTIF($E$2:$E$9999,E35),COUNTIF($G$2:$G$9999,G35))</f>
        <v>2</v>
      </c>
      <c r="N35" s="25"/>
      <c r="O35" s="25" t="s">
        <v>8</v>
      </c>
      <c r="P35" s="26" t="n">
        <v>0</v>
      </c>
      <c r="Q35" s="27"/>
      <c r="R35" s="25"/>
      <c r="S35" s="27"/>
      <c r="T35" s="28"/>
      <c r="U35" s="18" t="s">
        <v>417</v>
      </c>
      <c r="V35" s="29" t="n">
        <v>45854</v>
      </c>
      <c r="W35" s="18" t="s">
        <v>418</v>
      </c>
      <c r="X35" s="23" t="s">
        <v>419</v>
      </c>
      <c r="Y35" s="18" t="s">
        <v>420</v>
      </c>
      <c r="Z35" s="18" t="s">
        <v>149</v>
      </c>
      <c r="AA35" s="18" t="s">
        <v>415</v>
      </c>
      <c r="AB35" s="18" t="s">
        <v>151</v>
      </c>
      <c r="AC35" s="18"/>
    </row>
    <row r="36" customFormat="false" ht="30" hidden="false" customHeight="true" outlineLevel="0" collapsed="false">
      <c r="A36" s="18" t="s">
        <v>410</v>
      </c>
      <c r="B36" s="19" t="n">
        <v>1</v>
      </c>
      <c r="C36" s="20" t="str">
        <f aca="false">IF(L36="","C",IF(L36&gt;=Lists!$I$2,"A",IF(L36&gt;=Lists!$I$3,"B","C")))</f>
        <v>B</v>
      </c>
      <c r="D36" s="21" t="s">
        <v>97</v>
      </c>
      <c r="E36" s="22" t="s">
        <v>421</v>
      </c>
      <c r="F36" s="18" t="s">
        <v>422</v>
      </c>
      <c r="G36" s="23" t="s">
        <v>423</v>
      </c>
      <c r="H36" s="23" t="s">
        <v>424</v>
      </c>
      <c r="I36" s="21" t="s">
        <v>415</v>
      </c>
      <c r="J36" s="18" t="s">
        <v>416</v>
      </c>
      <c r="K36" s="18" t="s">
        <v>43</v>
      </c>
      <c r="L36" s="24" t="n">
        <v>120000</v>
      </c>
      <c r="M36" s="19" t="n">
        <f aca="false">IF(G36="To be found",COUNTIF($E$2:$E$9999,E36),COUNTIF($G$2:$G$9999,G36))</f>
        <v>1</v>
      </c>
      <c r="N36" s="25"/>
      <c r="O36" s="25" t="s">
        <v>8</v>
      </c>
      <c r="P36" s="26" t="n">
        <v>0</v>
      </c>
      <c r="Q36" s="27"/>
      <c r="R36" s="25"/>
      <c r="S36" s="27"/>
      <c r="T36" s="28"/>
      <c r="U36" s="18" t="s">
        <v>417</v>
      </c>
      <c r="V36" s="29" t="n">
        <v>45854</v>
      </c>
      <c r="W36" s="18" t="s">
        <v>425</v>
      </c>
      <c r="X36" s="23" t="s">
        <v>426</v>
      </c>
      <c r="Y36" s="18" t="s">
        <v>420</v>
      </c>
      <c r="Z36" s="18" t="s">
        <v>149</v>
      </c>
      <c r="AA36" s="18" t="s">
        <v>415</v>
      </c>
      <c r="AB36" s="18" t="s">
        <v>151</v>
      </c>
      <c r="AC36" s="18"/>
    </row>
    <row r="37" customFormat="false" ht="30" hidden="false" customHeight="true" outlineLevel="0" collapsed="false">
      <c r="A37" s="18" t="s">
        <v>427</v>
      </c>
      <c r="B37" s="19" t="n">
        <v>1</v>
      </c>
      <c r="C37" s="20" t="str">
        <f aca="false">IF(L37="","C",IF(L37&gt;=Lists!$I$2,"A",IF(L37&gt;=Lists!$I$3,"B","C")))</f>
        <v>C</v>
      </c>
      <c r="D37" s="21" t="s">
        <v>137</v>
      </c>
      <c r="E37" s="22" t="s">
        <v>428</v>
      </c>
      <c r="F37" s="18" t="s">
        <v>429</v>
      </c>
      <c r="G37" s="23" t="s">
        <v>430</v>
      </c>
      <c r="H37" s="18"/>
      <c r="I37" s="21" t="s">
        <v>431</v>
      </c>
      <c r="J37" s="18" t="s">
        <v>182</v>
      </c>
      <c r="K37" s="18" t="s">
        <v>43</v>
      </c>
      <c r="L37" s="24" t="n">
        <v>80000</v>
      </c>
      <c r="M37" s="19" t="n">
        <f aca="false">IF(G37="To be found",COUNTIF($E$2:$E$9999,E37),COUNTIF($G$2:$G$9999,G37))</f>
        <v>1</v>
      </c>
      <c r="N37" s="25"/>
      <c r="O37" s="25" t="s">
        <v>8</v>
      </c>
      <c r="P37" s="26" t="n">
        <v>0</v>
      </c>
      <c r="Q37" s="27"/>
      <c r="R37" s="25"/>
      <c r="S37" s="27"/>
      <c r="T37" s="28"/>
      <c r="U37" s="18" t="s">
        <v>432</v>
      </c>
      <c r="V37" s="29" t="n">
        <v>45855</v>
      </c>
      <c r="W37" s="18" t="s">
        <v>433</v>
      </c>
      <c r="X37" s="23" t="s">
        <v>434</v>
      </c>
      <c r="Y37" s="18" t="s">
        <v>435</v>
      </c>
      <c r="Z37" s="18" t="s">
        <v>254</v>
      </c>
      <c r="AA37" s="18" t="s">
        <v>436</v>
      </c>
      <c r="AB37" s="18" t="s">
        <v>151</v>
      </c>
      <c r="AC37" s="18"/>
    </row>
    <row r="38" customFormat="false" ht="30" hidden="false" customHeight="true" outlineLevel="0" collapsed="false">
      <c r="A38" s="18" t="s">
        <v>437</v>
      </c>
      <c r="B38" s="19" t="n">
        <v>1</v>
      </c>
      <c r="C38" s="20" t="str">
        <f aca="false">IF(L38="","C",IF(L38&gt;=Lists!$I$2,"A",IF(L38&gt;=Lists!$I$3,"B","C")))</f>
        <v>C</v>
      </c>
      <c r="D38" s="21" t="s">
        <v>137</v>
      </c>
      <c r="E38" s="22" t="s">
        <v>438</v>
      </c>
      <c r="F38" s="18" t="s">
        <v>439</v>
      </c>
      <c r="G38" s="23" t="s">
        <v>440</v>
      </c>
      <c r="H38" s="23" t="s">
        <v>441</v>
      </c>
      <c r="I38" s="21" t="s">
        <v>442</v>
      </c>
      <c r="J38" s="18" t="s">
        <v>156</v>
      </c>
      <c r="K38" s="18" t="s">
        <v>43</v>
      </c>
      <c r="L38" s="24" t="n">
        <v>50000</v>
      </c>
      <c r="M38" s="19" t="n">
        <f aca="false">IF(G38="To be found",COUNTIF($E$2:$E$9999,E38),COUNTIF($G$2:$G$9999,G38))</f>
        <v>1</v>
      </c>
      <c r="N38" s="25"/>
      <c r="O38" s="25" t="s">
        <v>8</v>
      </c>
      <c r="P38" s="26" t="n">
        <v>0</v>
      </c>
      <c r="Q38" s="27"/>
      <c r="R38" s="25"/>
      <c r="S38" s="27"/>
      <c r="T38" s="28"/>
      <c r="U38" s="18" t="s">
        <v>443</v>
      </c>
      <c r="V38" s="29" t="n">
        <v>45855</v>
      </c>
      <c r="W38" s="18" t="s">
        <v>444</v>
      </c>
      <c r="X38" s="23" t="s">
        <v>445</v>
      </c>
      <c r="Y38" s="18" t="s">
        <v>446</v>
      </c>
      <c r="Z38" s="18" t="s">
        <v>149</v>
      </c>
      <c r="AA38" s="18" t="s">
        <v>447</v>
      </c>
      <c r="AB38" s="18" t="s">
        <v>151</v>
      </c>
      <c r="AC38" s="18"/>
    </row>
    <row r="39" customFormat="false" ht="30" hidden="false" customHeight="true" outlineLevel="0" collapsed="false">
      <c r="A39" s="18" t="s">
        <v>437</v>
      </c>
      <c r="B39" s="19" t="n">
        <v>1</v>
      </c>
      <c r="C39" s="20" t="str">
        <f aca="false">IF(L39="","C",IF(L39&gt;=Lists!$I$2,"A",IF(L39&gt;=Lists!$I$3,"B","C")))</f>
        <v>C</v>
      </c>
      <c r="D39" s="21" t="s">
        <v>97</v>
      </c>
      <c r="E39" s="22" t="s">
        <v>448</v>
      </c>
      <c r="F39" s="18" t="s">
        <v>449</v>
      </c>
      <c r="G39" s="23" t="s">
        <v>450</v>
      </c>
      <c r="H39" s="23" t="s">
        <v>451</v>
      </c>
      <c r="I39" s="21" t="s">
        <v>442</v>
      </c>
      <c r="J39" s="18" t="s">
        <v>156</v>
      </c>
      <c r="K39" s="18" t="s">
        <v>43</v>
      </c>
      <c r="L39" s="24" t="n">
        <v>50000</v>
      </c>
      <c r="M39" s="19" t="n">
        <f aca="false">IF(G39="To be found",COUNTIF($E$2:$E$9999,E39),COUNTIF($G$2:$G$9999,G39))</f>
        <v>1</v>
      </c>
      <c r="N39" s="25"/>
      <c r="O39" s="25" t="s">
        <v>8</v>
      </c>
      <c r="P39" s="26" t="n">
        <v>0</v>
      </c>
      <c r="Q39" s="27"/>
      <c r="R39" s="25"/>
      <c r="S39" s="27"/>
      <c r="T39" s="28"/>
      <c r="U39" s="18" t="s">
        <v>443</v>
      </c>
      <c r="V39" s="29" t="n">
        <v>45855</v>
      </c>
      <c r="W39" s="18" t="s">
        <v>452</v>
      </c>
      <c r="X39" s="23" t="s">
        <v>453</v>
      </c>
      <c r="Y39" s="18" t="s">
        <v>446</v>
      </c>
      <c r="Z39" s="18" t="s">
        <v>149</v>
      </c>
      <c r="AA39" s="18" t="s">
        <v>447</v>
      </c>
      <c r="AB39" s="18" t="s">
        <v>151</v>
      </c>
      <c r="AC39" s="18"/>
    </row>
    <row r="40" customFormat="false" ht="30" hidden="false" customHeight="true" outlineLevel="0" collapsed="false">
      <c r="A40" s="18" t="s">
        <v>454</v>
      </c>
      <c r="B40" s="19" t="n">
        <v>1</v>
      </c>
      <c r="C40" s="20" t="str">
        <f aca="false">IF(L40="","C",IF(L40&gt;=Lists!$I$2,"A",IF(L40&gt;=Lists!$I$3,"B","C")))</f>
        <v>C</v>
      </c>
      <c r="D40" s="21" t="s">
        <v>137</v>
      </c>
      <c r="E40" s="22" t="s">
        <v>455</v>
      </c>
      <c r="F40" s="18" t="s">
        <v>456</v>
      </c>
      <c r="G40" s="23" t="s">
        <v>457</v>
      </c>
      <c r="H40" s="23" t="s">
        <v>458</v>
      </c>
      <c r="I40" s="21" t="s">
        <v>459</v>
      </c>
      <c r="J40" s="18" t="s">
        <v>460</v>
      </c>
      <c r="K40" s="18" t="s">
        <v>43</v>
      </c>
      <c r="L40" s="24" t="n">
        <v>50000</v>
      </c>
      <c r="M40" s="19" t="n">
        <f aca="false">IF(G40="To be found",COUNTIF($E$2:$E$9999,E40),COUNTIF($G$2:$G$9999,G40))</f>
        <v>1</v>
      </c>
      <c r="N40" s="25"/>
      <c r="O40" s="25" t="s">
        <v>8</v>
      </c>
      <c r="P40" s="26" t="n">
        <v>0</v>
      </c>
      <c r="Q40" s="27"/>
      <c r="R40" s="25"/>
      <c r="S40" s="27"/>
      <c r="T40" s="28"/>
      <c r="U40" s="18" t="s">
        <v>461</v>
      </c>
      <c r="V40" s="29" t="n">
        <v>45855</v>
      </c>
      <c r="W40" s="18" t="s">
        <v>462</v>
      </c>
      <c r="X40" s="23" t="s">
        <v>463</v>
      </c>
      <c r="Y40" s="18" t="s">
        <v>464</v>
      </c>
      <c r="Z40" s="18" t="s">
        <v>229</v>
      </c>
      <c r="AA40" s="18" t="s">
        <v>465</v>
      </c>
      <c r="AB40" s="18" t="s">
        <v>151</v>
      </c>
      <c r="AC40" s="18"/>
    </row>
    <row r="41" customFormat="false" ht="30" hidden="false" customHeight="true" outlineLevel="0" collapsed="false">
      <c r="A41" s="18" t="s">
        <v>454</v>
      </c>
      <c r="B41" s="19" t="n">
        <v>1</v>
      </c>
      <c r="C41" s="20" t="str">
        <f aca="false">IF(L41="","C",IF(L41&gt;=Lists!$I$2,"A",IF(L41&gt;=Lists!$I$3,"B","C")))</f>
        <v>C</v>
      </c>
      <c r="D41" s="21" t="s">
        <v>97</v>
      </c>
      <c r="E41" s="22" t="s">
        <v>466</v>
      </c>
      <c r="F41" s="18" t="s">
        <v>467</v>
      </c>
      <c r="G41" s="23" t="s">
        <v>468</v>
      </c>
      <c r="H41" s="18"/>
      <c r="I41" s="21" t="s">
        <v>459</v>
      </c>
      <c r="J41" s="18" t="s">
        <v>460</v>
      </c>
      <c r="K41" s="18" t="s">
        <v>43</v>
      </c>
      <c r="L41" s="24" t="n">
        <v>50000</v>
      </c>
      <c r="M41" s="19" t="n">
        <f aca="false">IF(G41="To be found",COUNTIF($E$2:$E$9999,E41),COUNTIF($G$2:$G$9999,G41))</f>
        <v>1</v>
      </c>
      <c r="N41" s="25"/>
      <c r="O41" s="25" t="s">
        <v>8</v>
      </c>
      <c r="P41" s="26" t="n">
        <v>0</v>
      </c>
      <c r="Q41" s="27"/>
      <c r="R41" s="25"/>
      <c r="S41" s="27"/>
      <c r="T41" s="28"/>
      <c r="U41" s="18" t="s">
        <v>461</v>
      </c>
      <c r="V41" s="29" t="n">
        <v>45855</v>
      </c>
      <c r="W41" s="18" t="s">
        <v>469</v>
      </c>
      <c r="X41" s="23" t="s">
        <v>470</v>
      </c>
      <c r="Y41" s="18" t="s">
        <v>464</v>
      </c>
      <c r="Z41" s="18" t="s">
        <v>229</v>
      </c>
      <c r="AA41" s="18" t="s">
        <v>465</v>
      </c>
      <c r="AB41" s="18" t="s">
        <v>151</v>
      </c>
      <c r="AC41" s="18"/>
    </row>
    <row r="42" customFormat="false" ht="30" hidden="false" customHeight="true" outlineLevel="0" collapsed="false">
      <c r="A42" s="18" t="s">
        <v>471</v>
      </c>
      <c r="B42" s="19" t="n">
        <v>1</v>
      </c>
      <c r="C42" s="20" t="str">
        <f aca="false">IF(L42="","C",IF(L42&gt;=Lists!$I$2,"A",IF(L42&gt;=Lists!$I$3,"B","C")))</f>
        <v>B</v>
      </c>
      <c r="D42" s="21" t="s">
        <v>137</v>
      </c>
      <c r="E42" s="22" t="s">
        <v>472</v>
      </c>
      <c r="F42" s="18" t="s">
        <v>473</v>
      </c>
      <c r="G42" s="23" t="s">
        <v>474</v>
      </c>
      <c r="H42" s="23" t="s">
        <v>475</v>
      </c>
      <c r="I42" s="21" t="s">
        <v>476</v>
      </c>
      <c r="J42" s="18" t="s">
        <v>477</v>
      </c>
      <c r="K42" s="18" t="s">
        <v>43</v>
      </c>
      <c r="L42" s="24" t="n">
        <v>200000</v>
      </c>
      <c r="M42" s="19" t="n">
        <f aca="false">IF(G42="To be found",COUNTIF($E$2:$E$9999,E42),COUNTIF($G$2:$G$9999,G42))</f>
        <v>1</v>
      </c>
      <c r="N42" s="25"/>
      <c r="O42" s="25" t="s">
        <v>8</v>
      </c>
      <c r="P42" s="26" t="n">
        <v>0</v>
      </c>
      <c r="Q42" s="27"/>
      <c r="R42" s="25"/>
      <c r="S42" s="27"/>
      <c r="T42" s="28"/>
      <c r="U42" s="18" t="s">
        <v>478</v>
      </c>
      <c r="V42" s="29" t="n">
        <v>45859</v>
      </c>
      <c r="W42" s="18" t="s">
        <v>479</v>
      </c>
      <c r="X42" s="23" t="s">
        <v>480</v>
      </c>
      <c r="Y42" s="18" t="s">
        <v>481</v>
      </c>
      <c r="Z42" s="18" t="s">
        <v>149</v>
      </c>
      <c r="AA42" s="18" t="s">
        <v>482</v>
      </c>
      <c r="AB42" s="18" t="s">
        <v>151</v>
      </c>
      <c r="AC42" s="18"/>
    </row>
    <row r="43" customFormat="false" ht="30" hidden="false" customHeight="true" outlineLevel="0" collapsed="false">
      <c r="A43" s="18" t="s">
        <v>471</v>
      </c>
      <c r="B43" s="19" t="n">
        <v>1</v>
      </c>
      <c r="C43" s="20" t="str">
        <f aca="false">IF(L43="","C",IF(L43&gt;=Lists!$I$2,"A",IF(L43&gt;=Lists!$I$3,"B","C")))</f>
        <v>B</v>
      </c>
      <c r="D43" s="21" t="s">
        <v>97</v>
      </c>
      <c r="E43" s="22" t="s">
        <v>483</v>
      </c>
      <c r="F43" s="18" t="s">
        <v>484</v>
      </c>
      <c r="G43" s="23" t="s">
        <v>485</v>
      </c>
      <c r="H43" s="23" t="s">
        <v>486</v>
      </c>
      <c r="I43" s="21" t="s">
        <v>476</v>
      </c>
      <c r="J43" s="18" t="s">
        <v>477</v>
      </c>
      <c r="K43" s="18" t="s">
        <v>43</v>
      </c>
      <c r="L43" s="24" t="n">
        <v>200000</v>
      </c>
      <c r="M43" s="19" t="n">
        <f aca="false">IF(G43="To be found",COUNTIF($E$2:$E$9999,E43),COUNTIF($G$2:$G$9999,G43))</f>
        <v>1</v>
      </c>
      <c r="N43" s="25"/>
      <c r="O43" s="25" t="s">
        <v>8</v>
      </c>
      <c r="P43" s="26" t="n">
        <v>0</v>
      </c>
      <c r="Q43" s="27"/>
      <c r="R43" s="25"/>
      <c r="S43" s="27"/>
      <c r="T43" s="28"/>
      <c r="U43" s="18" t="s">
        <v>478</v>
      </c>
      <c r="V43" s="29" t="n">
        <v>45859</v>
      </c>
      <c r="W43" s="18" t="s">
        <v>487</v>
      </c>
      <c r="X43" s="23" t="s">
        <v>488</v>
      </c>
      <c r="Y43" s="18" t="s">
        <v>481</v>
      </c>
      <c r="Z43" s="18" t="s">
        <v>149</v>
      </c>
      <c r="AA43" s="18" t="s">
        <v>482</v>
      </c>
      <c r="AB43" s="18" t="s">
        <v>151</v>
      </c>
      <c r="AC43" s="18"/>
    </row>
    <row r="44" customFormat="false" ht="30" hidden="false" customHeight="true" outlineLevel="0" collapsed="false">
      <c r="A44" s="18" t="s">
        <v>489</v>
      </c>
      <c r="B44" s="19" t="n">
        <v>1</v>
      </c>
      <c r="C44" s="20" t="str">
        <f aca="false">IF(L44="","C",IF(L44&gt;=Lists!$I$2,"A",IF(L44&gt;=Lists!$I$3,"B","C")))</f>
        <v>C</v>
      </c>
      <c r="D44" s="21" t="s">
        <v>137</v>
      </c>
      <c r="E44" s="22" t="s">
        <v>490</v>
      </c>
      <c r="F44" s="18" t="s">
        <v>491</v>
      </c>
      <c r="G44" s="23" t="s">
        <v>492</v>
      </c>
      <c r="H44" s="18"/>
      <c r="I44" s="21" t="s">
        <v>493</v>
      </c>
      <c r="J44" s="18" t="s">
        <v>161</v>
      </c>
      <c r="K44" s="18" t="s">
        <v>43</v>
      </c>
      <c r="L44" s="24" t="n">
        <v>70000</v>
      </c>
      <c r="M44" s="19" t="n">
        <f aca="false">IF(G44="To be found",COUNTIF($E$2:$E$9999,E44),COUNTIF($G$2:$G$9999,G44))</f>
        <v>1</v>
      </c>
      <c r="N44" s="25"/>
      <c r="O44" s="25" t="s">
        <v>8</v>
      </c>
      <c r="P44" s="26" t="n">
        <v>0</v>
      </c>
      <c r="Q44" s="27"/>
      <c r="R44" s="25"/>
      <c r="S44" s="27"/>
      <c r="T44" s="28"/>
      <c r="U44" s="18" t="s">
        <v>494</v>
      </c>
      <c r="V44" s="29" t="n">
        <v>45860</v>
      </c>
      <c r="W44" s="18" t="s">
        <v>495</v>
      </c>
      <c r="X44" s="18"/>
      <c r="Y44" s="18" t="s">
        <v>496</v>
      </c>
      <c r="Z44" s="18" t="s">
        <v>149</v>
      </c>
      <c r="AA44" s="18" t="s">
        <v>493</v>
      </c>
      <c r="AB44" s="18" t="s">
        <v>151</v>
      </c>
      <c r="AC44" s="18"/>
    </row>
    <row r="45" customFormat="false" ht="30" hidden="false" customHeight="true" outlineLevel="0" collapsed="false">
      <c r="A45" s="18" t="s">
        <v>489</v>
      </c>
      <c r="B45" s="19" t="n">
        <v>1</v>
      </c>
      <c r="C45" s="20" t="str">
        <f aca="false">IF(L45="","C",IF(L45&gt;=Lists!$I$2,"A",IF(L45&gt;=Lists!$I$3,"B","C")))</f>
        <v>C</v>
      </c>
      <c r="D45" s="21" t="s">
        <v>97</v>
      </c>
      <c r="E45" s="22" t="s">
        <v>497</v>
      </c>
      <c r="F45" s="18" t="s">
        <v>498</v>
      </c>
      <c r="G45" s="23" t="s">
        <v>499</v>
      </c>
      <c r="H45" s="23" t="s">
        <v>500</v>
      </c>
      <c r="I45" s="21" t="s">
        <v>493</v>
      </c>
      <c r="J45" s="18" t="s">
        <v>161</v>
      </c>
      <c r="K45" s="18" t="s">
        <v>43</v>
      </c>
      <c r="L45" s="24" t="n">
        <v>70000</v>
      </c>
      <c r="M45" s="19" t="n">
        <f aca="false">IF(G45="To be found",COUNTIF($E$2:$E$9999,E45),COUNTIF($G$2:$G$9999,G45))</f>
        <v>1</v>
      </c>
      <c r="N45" s="25"/>
      <c r="O45" s="25" t="s">
        <v>8</v>
      </c>
      <c r="P45" s="26" t="n">
        <v>0</v>
      </c>
      <c r="Q45" s="27"/>
      <c r="R45" s="25"/>
      <c r="S45" s="27"/>
      <c r="T45" s="28"/>
      <c r="U45" s="18" t="s">
        <v>494</v>
      </c>
      <c r="V45" s="29" t="n">
        <v>45860</v>
      </c>
      <c r="W45" s="18" t="s">
        <v>501</v>
      </c>
      <c r="X45" s="23" t="s">
        <v>502</v>
      </c>
      <c r="Y45" s="18" t="s">
        <v>496</v>
      </c>
      <c r="Z45" s="18" t="s">
        <v>149</v>
      </c>
      <c r="AA45" s="18" t="s">
        <v>493</v>
      </c>
      <c r="AB45" s="18" t="s">
        <v>151</v>
      </c>
      <c r="AC45" s="18"/>
    </row>
    <row r="46" customFormat="false" ht="30" hidden="false" customHeight="true" outlineLevel="0" collapsed="false">
      <c r="A46" s="18" t="s">
        <v>503</v>
      </c>
      <c r="B46" s="19" t="n">
        <v>1</v>
      </c>
      <c r="C46" s="20" t="str">
        <f aca="false">IF(L46="","C",IF(L46&gt;=Lists!$I$2,"A",IF(L46&gt;=Lists!$I$3,"B","C")))</f>
        <v>C</v>
      </c>
      <c r="D46" s="21" t="s">
        <v>137</v>
      </c>
      <c r="E46" s="22" t="s">
        <v>504</v>
      </c>
      <c r="F46" s="18" t="s">
        <v>505</v>
      </c>
      <c r="G46" s="23" t="s">
        <v>506</v>
      </c>
      <c r="H46" s="23" t="s">
        <v>507</v>
      </c>
      <c r="I46" s="21" t="s">
        <v>508</v>
      </c>
      <c r="J46" s="18" t="s">
        <v>509</v>
      </c>
      <c r="K46" s="18" t="s">
        <v>43</v>
      </c>
      <c r="L46" s="24" t="n">
        <v>50000</v>
      </c>
      <c r="M46" s="19" t="n">
        <f aca="false">IF(G46="To be found",COUNTIF($E$2:$E$9999,E46),COUNTIF($G$2:$G$9999,G46))</f>
        <v>2</v>
      </c>
      <c r="N46" s="25"/>
      <c r="O46" s="25" t="s">
        <v>8</v>
      </c>
      <c r="P46" s="26" t="n">
        <v>0</v>
      </c>
      <c r="Q46" s="27"/>
      <c r="R46" s="25"/>
      <c r="S46" s="27"/>
      <c r="T46" s="28"/>
      <c r="U46" s="18" t="s">
        <v>510</v>
      </c>
      <c r="V46" s="29" t="n">
        <v>45861</v>
      </c>
      <c r="W46" s="18" t="s">
        <v>511</v>
      </c>
      <c r="X46" s="23" t="s">
        <v>512</v>
      </c>
      <c r="Y46" s="18" t="s">
        <v>513</v>
      </c>
      <c r="Z46" s="18" t="s">
        <v>149</v>
      </c>
      <c r="AA46" s="18" t="s">
        <v>514</v>
      </c>
      <c r="AB46" s="18" t="s">
        <v>151</v>
      </c>
      <c r="AC46" s="18" t="s">
        <v>515</v>
      </c>
    </row>
    <row r="47" customFormat="false" ht="30" hidden="false" customHeight="true" outlineLevel="0" collapsed="false">
      <c r="A47" s="18" t="s">
        <v>503</v>
      </c>
      <c r="B47" s="19" t="n">
        <v>1</v>
      </c>
      <c r="C47" s="20" t="str">
        <f aca="false">IF(L47="","C",IF(L47&gt;=Lists!$I$2,"A",IF(L47&gt;=Lists!$I$3,"B","C")))</f>
        <v>C</v>
      </c>
      <c r="D47" s="21" t="s">
        <v>97</v>
      </c>
      <c r="E47" s="22" t="s">
        <v>516</v>
      </c>
      <c r="F47" s="18" t="s">
        <v>517</v>
      </c>
      <c r="G47" s="23" t="s">
        <v>518</v>
      </c>
      <c r="H47" s="23" t="s">
        <v>519</v>
      </c>
      <c r="I47" s="21" t="s">
        <v>508</v>
      </c>
      <c r="J47" s="18" t="s">
        <v>509</v>
      </c>
      <c r="K47" s="18" t="s">
        <v>43</v>
      </c>
      <c r="L47" s="24" t="n">
        <v>50000</v>
      </c>
      <c r="M47" s="19" t="n">
        <f aca="false">IF(G47="To be found",COUNTIF($E$2:$E$9999,E47),COUNTIF($G$2:$G$9999,G47))</f>
        <v>2</v>
      </c>
      <c r="N47" s="25"/>
      <c r="O47" s="25" t="s">
        <v>8</v>
      </c>
      <c r="P47" s="26" t="n">
        <v>0</v>
      </c>
      <c r="Q47" s="27"/>
      <c r="R47" s="25"/>
      <c r="S47" s="27"/>
      <c r="T47" s="28"/>
      <c r="U47" s="18" t="s">
        <v>510</v>
      </c>
      <c r="V47" s="29" t="n">
        <v>45861</v>
      </c>
      <c r="W47" s="18" t="s">
        <v>520</v>
      </c>
      <c r="X47" s="23" t="s">
        <v>521</v>
      </c>
      <c r="Y47" s="18" t="s">
        <v>513</v>
      </c>
      <c r="Z47" s="18" t="s">
        <v>149</v>
      </c>
      <c r="AA47" s="18" t="s">
        <v>514</v>
      </c>
      <c r="AB47" s="18" t="s">
        <v>151</v>
      </c>
      <c r="AC47" s="18" t="s">
        <v>515</v>
      </c>
    </row>
    <row r="48" customFormat="false" ht="30" hidden="false" customHeight="true" outlineLevel="0" collapsed="false">
      <c r="A48" s="18" t="s">
        <v>522</v>
      </c>
      <c r="B48" s="19" t="n">
        <v>1</v>
      </c>
      <c r="C48" s="20" t="str">
        <f aca="false">IF(L48="","C",IF(L48&gt;=Lists!$I$2,"A",IF(L48&gt;=Lists!$I$3,"B","C")))</f>
        <v>C</v>
      </c>
      <c r="D48" s="21" t="s">
        <v>137</v>
      </c>
      <c r="E48" s="22" t="s">
        <v>523</v>
      </c>
      <c r="F48" s="18"/>
      <c r="G48" s="23" t="s">
        <v>524</v>
      </c>
      <c r="H48" s="23" t="s">
        <v>525</v>
      </c>
      <c r="I48" s="21" t="s">
        <v>526</v>
      </c>
      <c r="J48" s="18" t="s">
        <v>143</v>
      </c>
      <c r="K48" s="18" t="s">
        <v>43</v>
      </c>
      <c r="L48" s="24" t="n">
        <v>70000</v>
      </c>
      <c r="M48" s="19" t="n">
        <f aca="false">IF(G48="To be found",COUNTIF($E$2:$E$9999,E48),COUNTIF($G$2:$G$9999,G48))</f>
        <v>1</v>
      </c>
      <c r="N48" s="25"/>
      <c r="O48" s="25" t="s">
        <v>8</v>
      </c>
      <c r="P48" s="26" t="n">
        <v>0</v>
      </c>
      <c r="Q48" s="27"/>
      <c r="R48" s="25"/>
      <c r="S48" s="27"/>
      <c r="T48" s="28"/>
      <c r="U48" s="18" t="s">
        <v>527</v>
      </c>
      <c r="V48" s="29" t="n">
        <v>45861</v>
      </c>
      <c r="W48" s="18" t="s">
        <v>528</v>
      </c>
      <c r="X48" s="23" t="s">
        <v>529</v>
      </c>
      <c r="Y48" s="18" t="s">
        <v>530</v>
      </c>
      <c r="Z48" s="18" t="s">
        <v>149</v>
      </c>
      <c r="AA48" s="18" t="s">
        <v>531</v>
      </c>
      <c r="AB48" s="18" t="s">
        <v>151</v>
      </c>
      <c r="AC48" s="18"/>
    </row>
    <row r="49" customFormat="false" ht="30" hidden="false" customHeight="true" outlineLevel="0" collapsed="false">
      <c r="A49" s="18" t="s">
        <v>522</v>
      </c>
      <c r="B49" s="19" t="n">
        <v>1</v>
      </c>
      <c r="C49" s="20" t="str">
        <f aca="false">IF(L49="","C",IF(L49&gt;=Lists!$I$2,"A",IF(L49&gt;=Lists!$I$3,"B","C")))</f>
        <v>C</v>
      </c>
      <c r="D49" s="21" t="s">
        <v>97</v>
      </c>
      <c r="E49" s="22" t="s">
        <v>152</v>
      </c>
      <c r="F49" s="18"/>
      <c r="G49" s="30" t="s">
        <v>153</v>
      </c>
      <c r="H49" s="18"/>
      <c r="I49" s="21" t="s">
        <v>526</v>
      </c>
      <c r="J49" s="18" t="s">
        <v>143</v>
      </c>
      <c r="K49" s="18" t="s">
        <v>43</v>
      </c>
      <c r="L49" s="24" t="n">
        <v>70000</v>
      </c>
      <c r="M49" s="19" t="n">
        <f aca="false">IF(G49="To be found",COUNTIF($E$2:$E$9999,E49),COUNTIF($G$2:$G$9999,G49))</f>
        <v>3</v>
      </c>
      <c r="N49" s="25"/>
      <c r="O49" s="25" t="s">
        <v>8</v>
      </c>
      <c r="P49" s="26" t="n">
        <v>0</v>
      </c>
      <c r="Q49" s="27"/>
      <c r="R49" s="25"/>
      <c r="S49" s="27"/>
      <c r="T49" s="28"/>
      <c r="U49" s="18" t="s">
        <v>527</v>
      </c>
      <c r="V49" s="29" t="n">
        <v>45861</v>
      </c>
      <c r="W49" s="18" t="s">
        <v>156</v>
      </c>
      <c r="X49" s="18"/>
      <c r="Y49" s="18" t="s">
        <v>530</v>
      </c>
      <c r="Z49" s="18" t="s">
        <v>149</v>
      </c>
      <c r="AA49" s="18" t="s">
        <v>531</v>
      </c>
      <c r="AB49" s="18" t="s">
        <v>151</v>
      </c>
      <c r="AC49" s="18"/>
    </row>
    <row r="50" customFormat="false" ht="30" hidden="false" customHeight="true" outlineLevel="0" collapsed="false">
      <c r="A50" s="18" t="s">
        <v>532</v>
      </c>
      <c r="B50" s="19" t="n">
        <v>1</v>
      </c>
      <c r="C50" s="20" t="str">
        <f aca="false">IF(L50="","C",IF(L50&gt;=Lists!$I$2,"A",IF(L50&gt;=Lists!$I$3,"B","C")))</f>
        <v>C</v>
      </c>
      <c r="D50" s="21" t="s">
        <v>137</v>
      </c>
      <c r="E50" s="22" t="s">
        <v>533</v>
      </c>
      <c r="F50" s="18"/>
      <c r="G50" s="23" t="s">
        <v>534</v>
      </c>
      <c r="H50" s="23" t="s">
        <v>535</v>
      </c>
      <c r="I50" s="21" t="s">
        <v>536</v>
      </c>
      <c r="J50" s="18" t="s">
        <v>537</v>
      </c>
      <c r="K50" s="18" t="s">
        <v>43</v>
      </c>
      <c r="L50" s="24" t="n">
        <v>90000</v>
      </c>
      <c r="M50" s="19" t="n">
        <f aca="false">IF(G50="To be found",COUNTIF($E$2:$E$9999,E50),COUNTIF($G$2:$G$9999,G50))</f>
        <v>1</v>
      </c>
      <c r="N50" s="25"/>
      <c r="O50" s="25" t="s">
        <v>8</v>
      </c>
      <c r="P50" s="26" t="n">
        <v>0</v>
      </c>
      <c r="Q50" s="27"/>
      <c r="R50" s="25"/>
      <c r="S50" s="27"/>
      <c r="T50" s="28"/>
      <c r="U50" s="18" t="s">
        <v>538</v>
      </c>
      <c r="V50" s="29" t="n">
        <v>45860</v>
      </c>
      <c r="W50" s="18" t="s">
        <v>539</v>
      </c>
      <c r="X50" s="23" t="s">
        <v>540</v>
      </c>
      <c r="Y50" s="18" t="s">
        <v>541</v>
      </c>
      <c r="Z50" s="18" t="s">
        <v>149</v>
      </c>
      <c r="AA50" s="18" t="s">
        <v>542</v>
      </c>
      <c r="AB50" s="18" t="s">
        <v>151</v>
      </c>
      <c r="AC50" s="18"/>
    </row>
    <row r="51" customFormat="false" ht="30" hidden="false" customHeight="true" outlineLevel="0" collapsed="false">
      <c r="A51" s="18" t="s">
        <v>532</v>
      </c>
      <c r="B51" s="19" t="n">
        <v>1</v>
      </c>
      <c r="C51" s="20" t="str">
        <f aca="false">IF(L51="","C",IF(L51&gt;=Lists!$I$2,"A",IF(L51&gt;=Lists!$I$3,"B","C")))</f>
        <v>C</v>
      </c>
      <c r="D51" s="21" t="s">
        <v>97</v>
      </c>
      <c r="E51" s="22" t="s">
        <v>543</v>
      </c>
      <c r="F51" s="18" t="s">
        <v>544</v>
      </c>
      <c r="G51" s="23" t="s">
        <v>386</v>
      </c>
      <c r="H51" s="23" t="s">
        <v>545</v>
      </c>
      <c r="I51" s="21" t="s">
        <v>536</v>
      </c>
      <c r="J51" s="18" t="s">
        <v>537</v>
      </c>
      <c r="K51" s="18" t="s">
        <v>43</v>
      </c>
      <c r="L51" s="24" t="n">
        <v>90000</v>
      </c>
      <c r="M51" s="19" t="n">
        <f aca="false">IF(G51="To be found",COUNTIF($E$2:$E$9999,E51),COUNTIF($G$2:$G$9999,G51))</f>
        <v>3</v>
      </c>
      <c r="N51" s="25"/>
      <c r="O51" s="25" t="s">
        <v>8</v>
      </c>
      <c r="P51" s="26" t="n">
        <v>0</v>
      </c>
      <c r="Q51" s="27"/>
      <c r="R51" s="25"/>
      <c r="S51" s="27"/>
      <c r="T51" s="28"/>
      <c r="U51" s="18" t="s">
        <v>538</v>
      </c>
      <c r="V51" s="29" t="n">
        <v>45860</v>
      </c>
      <c r="W51" s="18" t="s">
        <v>161</v>
      </c>
      <c r="X51" s="23" t="s">
        <v>390</v>
      </c>
      <c r="Y51" s="18" t="s">
        <v>541</v>
      </c>
      <c r="Z51" s="18" t="s">
        <v>149</v>
      </c>
      <c r="AA51" s="18" t="s">
        <v>542</v>
      </c>
      <c r="AB51" s="18" t="s">
        <v>151</v>
      </c>
      <c r="AC51" s="18"/>
    </row>
    <row r="52" customFormat="false" ht="30" hidden="false" customHeight="true" outlineLevel="0" collapsed="false">
      <c r="A52" s="18" t="s">
        <v>546</v>
      </c>
      <c r="B52" s="19" t="n">
        <v>1</v>
      </c>
      <c r="C52" s="20" t="str">
        <f aca="false">IF(L52="","C",IF(L52&gt;=Lists!$I$2,"A",IF(L52&gt;=Lists!$I$3,"B","C")))</f>
        <v>C</v>
      </c>
      <c r="D52" s="21" t="s">
        <v>137</v>
      </c>
      <c r="E52" s="22" t="s">
        <v>547</v>
      </c>
      <c r="F52" s="18" t="s">
        <v>548</v>
      </c>
      <c r="G52" s="23" t="s">
        <v>549</v>
      </c>
      <c r="H52" s="23" t="s">
        <v>550</v>
      </c>
      <c r="I52" s="21" t="s">
        <v>551</v>
      </c>
      <c r="J52" s="18" t="s">
        <v>552</v>
      </c>
      <c r="K52" s="18" t="s">
        <v>43</v>
      </c>
      <c r="L52" s="24" t="n">
        <v>70000</v>
      </c>
      <c r="M52" s="19" t="n">
        <f aca="false">IF(G52="To be found",COUNTIF($E$2:$E$9999,E52),COUNTIF($G$2:$G$9999,G52))</f>
        <v>2</v>
      </c>
      <c r="N52" s="25"/>
      <c r="O52" s="25" t="s">
        <v>8</v>
      </c>
      <c r="P52" s="26" t="n">
        <v>0</v>
      </c>
      <c r="Q52" s="27"/>
      <c r="R52" s="25"/>
      <c r="S52" s="27"/>
      <c r="T52" s="28"/>
      <c r="U52" s="18" t="s">
        <v>553</v>
      </c>
      <c r="V52" s="29" t="n">
        <v>45862</v>
      </c>
      <c r="W52" s="18" t="s">
        <v>554</v>
      </c>
      <c r="X52" s="23" t="s">
        <v>555</v>
      </c>
      <c r="Y52" s="18" t="s">
        <v>556</v>
      </c>
      <c r="Z52" s="18" t="s">
        <v>254</v>
      </c>
      <c r="AA52" s="18" t="s">
        <v>557</v>
      </c>
      <c r="AB52" s="18" t="s">
        <v>151</v>
      </c>
      <c r="AC52" s="18"/>
    </row>
    <row r="53" customFormat="false" ht="30" hidden="false" customHeight="true" outlineLevel="0" collapsed="false">
      <c r="A53" s="18" t="s">
        <v>546</v>
      </c>
      <c r="B53" s="19" t="n">
        <v>1</v>
      </c>
      <c r="C53" s="20" t="str">
        <f aca="false">IF(L53="","C",IF(L53&gt;=Lists!$I$2,"A",IF(L53&gt;=Lists!$I$3,"B","C")))</f>
        <v>C</v>
      </c>
      <c r="D53" s="21" t="s">
        <v>97</v>
      </c>
      <c r="E53" s="22" t="s">
        <v>558</v>
      </c>
      <c r="F53" s="18" t="s">
        <v>559</v>
      </c>
      <c r="G53" s="23" t="s">
        <v>560</v>
      </c>
      <c r="H53" s="23" t="s">
        <v>561</v>
      </c>
      <c r="I53" s="21" t="s">
        <v>551</v>
      </c>
      <c r="J53" s="18" t="s">
        <v>552</v>
      </c>
      <c r="K53" s="18" t="s">
        <v>43</v>
      </c>
      <c r="L53" s="24" t="n">
        <v>70000</v>
      </c>
      <c r="M53" s="19" t="n">
        <f aca="false">IF(G53="To be found",COUNTIF($E$2:$E$9999,E53),COUNTIF($G$2:$G$9999,G53))</f>
        <v>2</v>
      </c>
      <c r="N53" s="25"/>
      <c r="O53" s="25" t="s">
        <v>8</v>
      </c>
      <c r="P53" s="26" t="n">
        <v>0</v>
      </c>
      <c r="Q53" s="27"/>
      <c r="R53" s="25"/>
      <c r="S53" s="27"/>
      <c r="T53" s="28"/>
      <c r="U53" s="18" t="s">
        <v>553</v>
      </c>
      <c r="V53" s="29" t="n">
        <v>45862</v>
      </c>
      <c r="W53" s="18" t="s">
        <v>562</v>
      </c>
      <c r="X53" s="23" t="s">
        <v>563</v>
      </c>
      <c r="Y53" s="18" t="s">
        <v>556</v>
      </c>
      <c r="Z53" s="18" t="s">
        <v>254</v>
      </c>
      <c r="AA53" s="18" t="s">
        <v>557</v>
      </c>
      <c r="AB53" s="18" t="s">
        <v>151</v>
      </c>
      <c r="AC53" s="18"/>
    </row>
    <row r="54" customFormat="false" ht="30" hidden="false" customHeight="true" outlineLevel="0" collapsed="false">
      <c r="A54" s="18" t="s">
        <v>564</v>
      </c>
      <c r="B54" s="19" t="n">
        <v>1</v>
      </c>
      <c r="C54" s="20" t="str">
        <f aca="false">IF(L54="","C",IF(L54&gt;=Lists!$I$2,"A",IF(L54&gt;=Lists!$I$3,"B","C")))</f>
        <v>C</v>
      </c>
      <c r="D54" s="21" t="s">
        <v>137</v>
      </c>
      <c r="E54" s="22" t="s">
        <v>565</v>
      </c>
      <c r="F54" s="18" t="s">
        <v>566</v>
      </c>
      <c r="G54" s="23" t="s">
        <v>567</v>
      </c>
      <c r="H54" s="18"/>
      <c r="I54" s="21" t="s">
        <v>568</v>
      </c>
      <c r="J54" s="18" t="s">
        <v>569</v>
      </c>
      <c r="K54" s="18" t="s">
        <v>43</v>
      </c>
      <c r="L54" s="24" t="n">
        <v>70000</v>
      </c>
      <c r="M54" s="19" t="n">
        <f aca="false">IF(G54="To be found",COUNTIF($E$2:$E$9999,E54),COUNTIF($G$2:$G$9999,G54))</f>
        <v>1</v>
      </c>
      <c r="N54" s="25"/>
      <c r="O54" s="25" t="s">
        <v>8</v>
      </c>
      <c r="P54" s="26" t="n">
        <v>0</v>
      </c>
      <c r="Q54" s="27"/>
      <c r="R54" s="25"/>
      <c r="S54" s="27"/>
      <c r="T54" s="28"/>
      <c r="U54" s="18" t="s">
        <v>570</v>
      </c>
      <c r="V54" s="29" t="n">
        <v>45863</v>
      </c>
      <c r="W54" s="18" t="s">
        <v>571</v>
      </c>
      <c r="X54" s="23" t="s">
        <v>572</v>
      </c>
      <c r="Y54" s="18" t="s">
        <v>573</v>
      </c>
      <c r="Z54" s="18" t="s">
        <v>149</v>
      </c>
      <c r="AA54" s="18" t="s">
        <v>574</v>
      </c>
      <c r="AB54" s="18" t="s">
        <v>151</v>
      </c>
      <c r="AC54" s="18"/>
    </row>
    <row r="55" customFormat="false" ht="30" hidden="false" customHeight="true" outlineLevel="0" collapsed="false">
      <c r="A55" s="18" t="s">
        <v>564</v>
      </c>
      <c r="B55" s="19" t="n">
        <v>1</v>
      </c>
      <c r="C55" s="20" t="str">
        <f aca="false">IF(L55="","C",IF(L55&gt;=Lists!$I$2,"A",IF(L55&gt;=Lists!$I$3,"B","C")))</f>
        <v>C</v>
      </c>
      <c r="D55" s="21" t="s">
        <v>97</v>
      </c>
      <c r="E55" s="22" t="s">
        <v>168</v>
      </c>
      <c r="F55" s="18" t="s">
        <v>575</v>
      </c>
      <c r="G55" s="23" t="s">
        <v>170</v>
      </c>
      <c r="H55" s="23" t="s">
        <v>171</v>
      </c>
      <c r="I55" s="21" t="s">
        <v>568</v>
      </c>
      <c r="J55" s="18" t="s">
        <v>569</v>
      </c>
      <c r="K55" s="18" t="s">
        <v>43</v>
      </c>
      <c r="L55" s="24" t="n">
        <v>70000</v>
      </c>
      <c r="M55" s="19" t="n">
        <f aca="false">IF(G55="To be found",COUNTIF($E$2:$E$9999,E55),COUNTIF($G$2:$G$9999,G55))</f>
        <v>4</v>
      </c>
      <c r="N55" s="25"/>
      <c r="O55" s="25" t="s">
        <v>8</v>
      </c>
      <c r="P55" s="26" t="n">
        <v>0</v>
      </c>
      <c r="Q55" s="27"/>
      <c r="R55" s="25"/>
      <c r="S55" s="27"/>
      <c r="T55" s="28"/>
      <c r="U55" s="18" t="s">
        <v>570</v>
      </c>
      <c r="V55" s="29" t="n">
        <v>45863</v>
      </c>
      <c r="W55" s="18" t="s">
        <v>174</v>
      </c>
      <c r="X55" s="23" t="s">
        <v>175</v>
      </c>
      <c r="Y55" s="18" t="s">
        <v>573</v>
      </c>
      <c r="Z55" s="18" t="s">
        <v>149</v>
      </c>
      <c r="AA55" s="18" t="s">
        <v>574</v>
      </c>
      <c r="AB55" s="18" t="s">
        <v>151</v>
      </c>
      <c r="AC55" s="18"/>
    </row>
    <row r="56" customFormat="false" ht="30" hidden="false" customHeight="true" outlineLevel="0" collapsed="false">
      <c r="A56" s="18" t="s">
        <v>576</v>
      </c>
      <c r="B56" s="19" t="n">
        <v>1</v>
      </c>
      <c r="C56" s="20" t="str">
        <f aca="false">IF(L56="","C",IF(L56&gt;=Lists!$I$2,"A",IF(L56&gt;=Lists!$I$3,"B","C")))</f>
        <v>A</v>
      </c>
      <c r="D56" s="21" t="s">
        <v>577</v>
      </c>
      <c r="E56" s="22" t="s">
        <v>578</v>
      </c>
      <c r="F56" s="18" t="s">
        <v>579</v>
      </c>
      <c r="G56" s="23" t="s">
        <v>580</v>
      </c>
      <c r="H56" s="23" t="s">
        <v>581</v>
      </c>
      <c r="I56" s="21" t="s">
        <v>582</v>
      </c>
      <c r="J56" s="18" t="s">
        <v>583</v>
      </c>
      <c r="K56" s="18" t="s">
        <v>42</v>
      </c>
      <c r="L56" s="24" t="n">
        <v>700000</v>
      </c>
      <c r="M56" s="19" t="n">
        <f aca="false">IF(G56="To be found",COUNTIF($E$2:$E$9999,E56),COUNTIF($G$2:$G$9999,G56))</f>
        <v>1</v>
      </c>
      <c r="N56" s="25"/>
      <c r="O56" s="25" t="s">
        <v>8</v>
      </c>
      <c r="P56" s="26" t="n">
        <v>0</v>
      </c>
      <c r="Q56" s="27"/>
      <c r="R56" s="25"/>
      <c r="S56" s="27"/>
      <c r="T56" s="28"/>
      <c r="U56" s="18" t="s">
        <v>584</v>
      </c>
      <c r="V56" s="29" t="n">
        <v>45849</v>
      </c>
      <c r="W56" s="18" t="s">
        <v>585</v>
      </c>
      <c r="X56" s="23" t="s">
        <v>586</v>
      </c>
      <c r="Y56" s="18" t="s">
        <v>587</v>
      </c>
      <c r="Z56" s="18" t="s">
        <v>254</v>
      </c>
      <c r="AA56" s="18" t="s">
        <v>588</v>
      </c>
      <c r="AB56" s="18" t="s">
        <v>151</v>
      </c>
      <c r="AC56" s="18"/>
    </row>
    <row r="57" customFormat="false" ht="30" hidden="false" customHeight="true" outlineLevel="0" collapsed="false">
      <c r="A57" s="18" t="s">
        <v>589</v>
      </c>
      <c r="B57" s="19" t="n">
        <v>1</v>
      </c>
      <c r="C57" s="20" t="str">
        <f aca="false">IF(L57="","C",IF(L57&gt;=Lists!$I$2,"A",IF(L57&gt;=Lists!$I$3,"B","C")))</f>
        <v>B</v>
      </c>
      <c r="D57" s="21" t="s">
        <v>137</v>
      </c>
      <c r="E57" s="22" t="s">
        <v>590</v>
      </c>
      <c r="F57" s="18" t="s">
        <v>591</v>
      </c>
      <c r="G57" s="23" t="s">
        <v>592</v>
      </c>
      <c r="H57" s="23" t="s">
        <v>593</v>
      </c>
      <c r="I57" s="21" t="s">
        <v>594</v>
      </c>
      <c r="J57" s="18" t="s">
        <v>595</v>
      </c>
      <c r="K57" s="18" t="s">
        <v>43</v>
      </c>
      <c r="L57" s="24" t="n">
        <v>120000</v>
      </c>
      <c r="M57" s="19" t="n">
        <f aca="false">IF(G57="To be found",COUNTIF($E$2:$E$9999,E57),COUNTIF($G$2:$G$9999,G57))</f>
        <v>1</v>
      </c>
      <c r="N57" s="25"/>
      <c r="O57" s="25" t="s">
        <v>8</v>
      </c>
      <c r="P57" s="26" t="n">
        <v>0</v>
      </c>
      <c r="Q57" s="27"/>
      <c r="R57" s="25"/>
      <c r="S57" s="27"/>
      <c r="T57" s="28"/>
      <c r="U57" s="18" t="s">
        <v>596</v>
      </c>
      <c r="V57" s="29" t="n">
        <v>45848</v>
      </c>
      <c r="W57" s="18" t="s">
        <v>597</v>
      </c>
      <c r="X57" s="23" t="s">
        <v>598</v>
      </c>
      <c r="Y57" s="18" t="s">
        <v>597</v>
      </c>
      <c r="Z57" s="18" t="s">
        <v>254</v>
      </c>
      <c r="AA57" s="18" t="s">
        <v>599</v>
      </c>
      <c r="AB57" s="18" t="s">
        <v>151</v>
      </c>
      <c r="AC57" s="18"/>
    </row>
    <row r="58" customFormat="false" ht="30" hidden="false" customHeight="true" outlineLevel="0" collapsed="false">
      <c r="A58" s="18" t="s">
        <v>589</v>
      </c>
      <c r="B58" s="19" t="n">
        <v>1</v>
      </c>
      <c r="C58" s="20" t="str">
        <f aca="false">IF(L58="","C",IF(L58&gt;=Lists!$I$2,"A",IF(L58&gt;=Lists!$I$3,"B","C")))</f>
        <v>B</v>
      </c>
      <c r="D58" s="21" t="s">
        <v>97</v>
      </c>
      <c r="E58" s="22" t="s">
        <v>600</v>
      </c>
      <c r="F58" s="18" t="s">
        <v>601</v>
      </c>
      <c r="G58" s="23" t="s">
        <v>602</v>
      </c>
      <c r="H58" s="23" t="s">
        <v>603</v>
      </c>
      <c r="I58" s="21" t="s">
        <v>594</v>
      </c>
      <c r="J58" s="18" t="s">
        <v>595</v>
      </c>
      <c r="K58" s="18" t="s">
        <v>43</v>
      </c>
      <c r="L58" s="24" t="n">
        <v>120000</v>
      </c>
      <c r="M58" s="19" t="n">
        <f aca="false">IF(G58="To be found",COUNTIF($E$2:$E$9999,E58),COUNTIF($G$2:$G$9999,G58))</f>
        <v>1</v>
      </c>
      <c r="N58" s="25"/>
      <c r="O58" s="25" t="s">
        <v>8</v>
      </c>
      <c r="P58" s="26" t="n">
        <v>0</v>
      </c>
      <c r="Q58" s="27"/>
      <c r="R58" s="25"/>
      <c r="S58" s="27"/>
      <c r="T58" s="28"/>
      <c r="U58" s="18" t="s">
        <v>596</v>
      </c>
      <c r="V58" s="29" t="n">
        <v>45848</v>
      </c>
      <c r="W58" s="18" t="s">
        <v>604</v>
      </c>
      <c r="X58" s="23" t="s">
        <v>605</v>
      </c>
      <c r="Y58" s="18" t="s">
        <v>597</v>
      </c>
      <c r="Z58" s="18" t="s">
        <v>254</v>
      </c>
      <c r="AA58" s="18" t="s">
        <v>599</v>
      </c>
      <c r="AB58" s="18" t="s">
        <v>151</v>
      </c>
      <c r="AC58" s="18"/>
    </row>
    <row r="59" customFormat="false" ht="30" hidden="false" customHeight="true" outlineLevel="0" collapsed="false">
      <c r="A59" s="18" t="s">
        <v>606</v>
      </c>
      <c r="B59" s="19" t="n">
        <v>1</v>
      </c>
      <c r="C59" s="20" t="str">
        <f aca="false">IF(L59="","C",IF(L59&gt;=Lists!$I$2,"A",IF(L59&gt;=Lists!$I$3,"B","C")))</f>
        <v>C</v>
      </c>
      <c r="D59" s="21" t="s">
        <v>137</v>
      </c>
      <c r="E59" s="22" t="s">
        <v>607</v>
      </c>
      <c r="F59" s="18" t="s">
        <v>608</v>
      </c>
      <c r="G59" s="23" t="s">
        <v>609</v>
      </c>
      <c r="H59" s="23" t="s">
        <v>610</v>
      </c>
      <c r="I59" s="21" t="s">
        <v>611</v>
      </c>
      <c r="J59" s="18" t="s">
        <v>612</v>
      </c>
      <c r="K59" s="18" t="s">
        <v>42</v>
      </c>
      <c r="L59" s="24" t="n">
        <v>50000</v>
      </c>
      <c r="M59" s="19" t="n">
        <f aca="false">IF(G59="To be found",COUNTIF($E$2:$E$9999,E59),COUNTIF($G$2:$G$9999,G59))</f>
        <v>2</v>
      </c>
      <c r="N59" s="25"/>
      <c r="O59" s="25" t="s">
        <v>8</v>
      </c>
      <c r="P59" s="26" t="n">
        <v>0</v>
      </c>
      <c r="Q59" s="27"/>
      <c r="R59" s="25"/>
      <c r="S59" s="27"/>
      <c r="T59" s="28"/>
      <c r="U59" s="18" t="s">
        <v>613</v>
      </c>
      <c r="V59" s="29" t="n">
        <v>45877</v>
      </c>
      <c r="W59" s="18" t="s">
        <v>614</v>
      </c>
      <c r="X59" s="23" t="s">
        <v>615</v>
      </c>
      <c r="Y59" s="18" t="s">
        <v>616</v>
      </c>
      <c r="Z59" s="18" t="s">
        <v>229</v>
      </c>
      <c r="AA59" s="18"/>
      <c r="AB59" s="18" t="s">
        <v>151</v>
      </c>
      <c r="AC59" s="18"/>
    </row>
    <row r="60" customFormat="false" ht="30" hidden="false" customHeight="true" outlineLevel="0" collapsed="false">
      <c r="A60" s="18" t="s">
        <v>606</v>
      </c>
      <c r="B60" s="19" t="n">
        <v>2</v>
      </c>
      <c r="C60" s="20" t="str">
        <f aca="false">IF(L60="","C",IF(L60&gt;=Lists!$I$2,"A",IF(L60&gt;=Lists!$I$3,"B","C")))</f>
        <v>C</v>
      </c>
      <c r="D60" s="21" t="s">
        <v>137</v>
      </c>
      <c r="E60" s="22" t="s">
        <v>607</v>
      </c>
      <c r="F60" s="18" t="s">
        <v>608</v>
      </c>
      <c r="G60" s="23" t="s">
        <v>609</v>
      </c>
      <c r="H60" s="23" t="s">
        <v>610</v>
      </c>
      <c r="I60" s="21" t="s">
        <v>617</v>
      </c>
      <c r="J60" s="18" t="s">
        <v>612</v>
      </c>
      <c r="K60" s="18" t="s">
        <v>42</v>
      </c>
      <c r="L60" s="24" t="n">
        <v>50000</v>
      </c>
      <c r="M60" s="19" t="n">
        <f aca="false">IF(G60="To be found",COUNTIF($E$2:$E$9999,E60),COUNTIF($G$2:$G$9999,G60))</f>
        <v>2</v>
      </c>
      <c r="N60" s="25"/>
      <c r="O60" s="25" t="s">
        <v>8</v>
      </c>
      <c r="P60" s="26" t="n">
        <v>0</v>
      </c>
      <c r="Q60" s="27"/>
      <c r="R60" s="25"/>
      <c r="S60" s="27"/>
      <c r="T60" s="28"/>
      <c r="U60" s="18" t="s">
        <v>618</v>
      </c>
      <c r="V60" s="29" t="n">
        <v>45877</v>
      </c>
      <c r="W60" s="18" t="s">
        <v>614</v>
      </c>
      <c r="X60" s="23" t="s">
        <v>615</v>
      </c>
      <c r="Y60" s="18" t="s">
        <v>619</v>
      </c>
      <c r="Z60" s="18" t="s">
        <v>229</v>
      </c>
      <c r="AA60" s="18"/>
      <c r="AB60" s="18" t="s">
        <v>151</v>
      </c>
      <c r="AC60" s="18"/>
    </row>
    <row r="61" customFormat="false" ht="30" hidden="false" customHeight="true" outlineLevel="0" collapsed="false">
      <c r="A61" s="18" t="s">
        <v>620</v>
      </c>
      <c r="B61" s="19" t="n">
        <v>1</v>
      </c>
      <c r="C61" s="20" t="str">
        <f aca="false">IF(L61="","C",IF(L61&gt;=Lists!$I$2,"A",IF(L61&gt;=Lists!$I$3,"B","C")))</f>
        <v>C</v>
      </c>
      <c r="D61" s="21" t="s">
        <v>97</v>
      </c>
      <c r="E61" s="22" t="s">
        <v>621</v>
      </c>
      <c r="F61" s="18" t="s">
        <v>622</v>
      </c>
      <c r="G61" s="23" t="s">
        <v>623</v>
      </c>
      <c r="H61" s="23" t="s">
        <v>624</v>
      </c>
      <c r="I61" s="21" t="s">
        <v>625</v>
      </c>
      <c r="J61" s="18" t="s">
        <v>626</v>
      </c>
      <c r="K61" s="18" t="s">
        <v>42</v>
      </c>
      <c r="L61" s="24" t="n">
        <v>20000</v>
      </c>
      <c r="M61" s="19" t="n">
        <f aca="false">IF(G61="To be found",COUNTIF($E$2:$E$9999,E61),COUNTIF($G$2:$G$9999,G61))</f>
        <v>1</v>
      </c>
      <c r="N61" s="25"/>
      <c r="O61" s="25" t="s">
        <v>8</v>
      </c>
      <c r="P61" s="26" t="n">
        <v>0</v>
      </c>
      <c r="Q61" s="27"/>
      <c r="R61" s="25"/>
      <c r="S61" s="27"/>
      <c r="T61" s="28"/>
      <c r="U61" s="18" t="s">
        <v>627</v>
      </c>
      <c r="V61" s="29" t="n">
        <v>45877</v>
      </c>
      <c r="W61" s="18" t="s">
        <v>628</v>
      </c>
      <c r="X61" s="18"/>
      <c r="Y61" s="18" t="s">
        <v>629</v>
      </c>
      <c r="Z61" s="18" t="s">
        <v>229</v>
      </c>
      <c r="AA61" s="18" t="s">
        <v>630</v>
      </c>
      <c r="AB61" s="18" t="s">
        <v>151</v>
      </c>
      <c r="AC61" s="18"/>
    </row>
    <row r="62" customFormat="false" ht="30" hidden="false" customHeight="true" outlineLevel="0" collapsed="false">
      <c r="A62" s="18" t="s">
        <v>620</v>
      </c>
      <c r="B62" s="19" t="n">
        <v>2</v>
      </c>
      <c r="C62" s="20" t="str">
        <f aca="false">IF(L62="","C",IF(L62&gt;=Lists!$I$2,"A",IF(L62&gt;=Lists!$I$3,"B","C")))</f>
        <v>B</v>
      </c>
      <c r="D62" s="21" t="s">
        <v>137</v>
      </c>
      <c r="E62" s="22" t="s">
        <v>631</v>
      </c>
      <c r="F62" s="18"/>
      <c r="G62" s="23" t="s">
        <v>632</v>
      </c>
      <c r="H62" s="23" t="s">
        <v>633</v>
      </c>
      <c r="I62" s="21" t="s">
        <v>634</v>
      </c>
      <c r="J62" s="18" t="s">
        <v>635</v>
      </c>
      <c r="K62" s="18" t="s">
        <v>42</v>
      </c>
      <c r="L62" s="24" t="n">
        <v>160000</v>
      </c>
      <c r="M62" s="19" t="n">
        <f aca="false">IF(G62="To be found",COUNTIF($E$2:$E$9999,E62),COUNTIF($G$2:$G$9999,G62))</f>
        <v>1</v>
      </c>
      <c r="N62" s="25"/>
      <c r="O62" s="25" t="s">
        <v>8</v>
      </c>
      <c r="P62" s="26" t="n">
        <v>0</v>
      </c>
      <c r="Q62" s="27"/>
      <c r="R62" s="25"/>
      <c r="S62" s="27"/>
      <c r="T62" s="28"/>
      <c r="U62" s="18" t="s">
        <v>636</v>
      </c>
      <c r="V62" s="29" t="n">
        <v>45877</v>
      </c>
      <c r="W62" s="18" t="s">
        <v>637</v>
      </c>
      <c r="X62" s="23" t="s">
        <v>638</v>
      </c>
      <c r="Y62" s="18" t="s">
        <v>639</v>
      </c>
      <c r="Z62" s="18" t="s">
        <v>229</v>
      </c>
      <c r="AA62" s="18"/>
      <c r="AB62" s="18" t="s">
        <v>151</v>
      </c>
      <c r="AC62" s="18"/>
    </row>
    <row r="63" customFormat="false" ht="30" hidden="false" customHeight="true" outlineLevel="0" collapsed="false">
      <c r="A63" s="18" t="s">
        <v>620</v>
      </c>
      <c r="B63" s="19" t="n">
        <v>2</v>
      </c>
      <c r="C63" s="20" t="str">
        <f aca="false">IF(L63="","C",IF(L63&gt;=Lists!$I$2,"A",IF(L63&gt;=Lists!$I$3,"B","C")))</f>
        <v>B</v>
      </c>
      <c r="D63" s="21" t="s">
        <v>97</v>
      </c>
      <c r="E63" s="22" t="s">
        <v>640</v>
      </c>
      <c r="F63" s="18"/>
      <c r="G63" s="23" t="s">
        <v>641</v>
      </c>
      <c r="H63" s="23" t="s">
        <v>642</v>
      </c>
      <c r="I63" s="21" t="s">
        <v>634</v>
      </c>
      <c r="J63" s="18" t="s">
        <v>635</v>
      </c>
      <c r="K63" s="18" t="s">
        <v>42</v>
      </c>
      <c r="L63" s="24" t="n">
        <v>160000</v>
      </c>
      <c r="M63" s="19" t="n">
        <f aca="false">IF(G63="To be found",COUNTIF($E$2:$E$9999,E63),COUNTIF($G$2:$G$9999,G63))</f>
        <v>1</v>
      </c>
      <c r="N63" s="25"/>
      <c r="O63" s="25" t="s">
        <v>8</v>
      </c>
      <c r="P63" s="26" t="n">
        <v>0</v>
      </c>
      <c r="Q63" s="27"/>
      <c r="R63" s="25"/>
      <c r="S63" s="27"/>
      <c r="T63" s="28"/>
      <c r="U63" s="18" t="s">
        <v>636</v>
      </c>
      <c r="V63" s="29" t="n">
        <v>45877</v>
      </c>
      <c r="W63" s="18" t="s">
        <v>643</v>
      </c>
      <c r="X63" s="23" t="s">
        <v>644</v>
      </c>
      <c r="Y63" s="18" t="s">
        <v>639</v>
      </c>
      <c r="Z63" s="18" t="s">
        <v>229</v>
      </c>
      <c r="AA63" s="18"/>
      <c r="AB63" s="18" t="s">
        <v>151</v>
      </c>
      <c r="AC63" s="18"/>
    </row>
    <row r="64" customFormat="false" ht="30" hidden="false" customHeight="true" outlineLevel="0" collapsed="false">
      <c r="A64" s="18" t="s">
        <v>620</v>
      </c>
      <c r="B64" s="19" t="n">
        <v>3</v>
      </c>
      <c r="C64" s="20" t="str">
        <f aca="false">IF(L64="","C",IF(L64&gt;=Lists!$I$2,"A",IF(L64&gt;=Lists!$I$3,"B","C")))</f>
        <v>A</v>
      </c>
      <c r="D64" s="21" t="s">
        <v>137</v>
      </c>
      <c r="E64" s="22" t="s">
        <v>645</v>
      </c>
      <c r="F64" s="18"/>
      <c r="G64" s="23" t="s">
        <v>646</v>
      </c>
      <c r="H64" s="23" t="s">
        <v>647</v>
      </c>
      <c r="I64" s="21" t="s">
        <v>648</v>
      </c>
      <c r="J64" s="18" t="s">
        <v>649</v>
      </c>
      <c r="K64" s="18" t="s">
        <v>42</v>
      </c>
      <c r="L64" s="24" t="n">
        <v>15000000</v>
      </c>
      <c r="M64" s="19" t="n">
        <f aca="false">IF(G64="To be found",COUNTIF($E$2:$E$9999,E64),COUNTIF($G$2:$G$9999,G64))</f>
        <v>1</v>
      </c>
      <c r="N64" s="25"/>
      <c r="O64" s="25" t="s">
        <v>8</v>
      </c>
      <c r="P64" s="26" t="n">
        <v>0</v>
      </c>
      <c r="Q64" s="27"/>
      <c r="R64" s="25"/>
      <c r="S64" s="27"/>
      <c r="T64" s="28"/>
      <c r="U64" s="18" t="s">
        <v>650</v>
      </c>
      <c r="V64" s="29" t="n">
        <v>45877</v>
      </c>
      <c r="W64" s="18" t="s">
        <v>651</v>
      </c>
      <c r="X64" s="23" t="s">
        <v>652</v>
      </c>
      <c r="Y64" s="18" t="s">
        <v>651</v>
      </c>
      <c r="Z64" s="18" t="s">
        <v>229</v>
      </c>
      <c r="AA64" s="18" t="s">
        <v>653</v>
      </c>
      <c r="AB64" s="18" t="s">
        <v>151</v>
      </c>
      <c r="AC64" s="18"/>
    </row>
    <row r="65" customFormat="false" ht="30" hidden="false" customHeight="true" outlineLevel="0" collapsed="false">
      <c r="A65" s="18" t="s">
        <v>620</v>
      </c>
      <c r="B65" s="19" t="n">
        <v>3</v>
      </c>
      <c r="C65" s="20" t="str">
        <f aca="false">IF(L65="","C",IF(L65&gt;=Lists!$I$2,"A",IF(L65&gt;=Lists!$I$3,"B","C")))</f>
        <v>A</v>
      </c>
      <c r="D65" s="21" t="s">
        <v>97</v>
      </c>
      <c r="E65" s="22" t="s">
        <v>654</v>
      </c>
      <c r="F65" s="18"/>
      <c r="G65" s="23" t="s">
        <v>655</v>
      </c>
      <c r="H65" s="23" t="s">
        <v>656</v>
      </c>
      <c r="I65" s="21" t="s">
        <v>648</v>
      </c>
      <c r="J65" s="18" t="s">
        <v>649</v>
      </c>
      <c r="K65" s="18" t="s">
        <v>42</v>
      </c>
      <c r="L65" s="24" t="n">
        <v>15000000</v>
      </c>
      <c r="M65" s="19" t="n">
        <f aca="false">IF(G65="To be found",COUNTIF($E$2:$E$9999,E65),COUNTIF($G$2:$G$9999,G65))</f>
        <v>1</v>
      </c>
      <c r="N65" s="25"/>
      <c r="O65" s="25" t="s">
        <v>8</v>
      </c>
      <c r="P65" s="26" t="n">
        <v>0</v>
      </c>
      <c r="Q65" s="27"/>
      <c r="R65" s="25"/>
      <c r="S65" s="27"/>
      <c r="T65" s="28"/>
      <c r="U65" s="18" t="s">
        <v>650</v>
      </c>
      <c r="V65" s="29" t="n">
        <v>45877</v>
      </c>
      <c r="W65" s="18" t="s">
        <v>657</v>
      </c>
      <c r="X65" s="23" t="s">
        <v>658</v>
      </c>
      <c r="Y65" s="18" t="s">
        <v>651</v>
      </c>
      <c r="Z65" s="18" t="s">
        <v>229</v>
      </c>
      <c r="AA65" s="18" t="s">
        <v>653</v>
      </c>
      <c r="AB65" s="18" t="s">
        <v>151</v>
      </c>
      <c r="AC65" s="18"/>
    </row>
    <row r="66" customFormat="false" ht="30" hidden="false" customHeight="true" outlineLevel="0" collapsed="false">
      <c r="A66" s="18" t="s">
        <v>620</v>
      </c>
      <c r="B66" s="19" t="n">
        <v>4</v>
      </c>
      <c r="C66" s="20" t="str">
        <f aca="false">IF(L66="","C",IF(L66&gt;=Lists!$I$2,"A",IF(L66&gt;=Lists!$I$3,"B","C")))</f>
        <v>B</v>
      </c>
      <c r="D66" s="21" t="s">
        <v>137</v>
      </c>
      <c r="E66" s="22" t="s">
        <v>659</v>
      </c>
      <c r="F66" s="18"/>
      <c r="G66" s="23" t="s">
        <v>660</v>
      </c>
      <c r="H66" s="18"/>
      <c r="I66" s="21" t="s">
        <v>661</v>
      </c>
      <c r="J66" s="18" t="s">
        <v>662</v>
      </c>
      <c r="K66" s="18" t="s">
        <v>43</v>
      </c>
      <c r="L66" s="24" t="n">
        <v>200000</v>
      </c>
      <c r="M66" s="19" t="n">
        <f aca="false">IF(G66="To be found",COUNTIF($E$2:$E$9999,E66),COUNTIF($G$2:$G$9999,G66))</f>
        <v>1</v>
      </c>
      <c r="N66" s="25"/>
      <c r="O66" s="25" t="s">
        <v>8</v>
      </c>
      <c r="P66" s="26" t="n">
        <v>0</v>
      </c>
      <c r="Q66" s="27"/>
      <c r="R66" s="25"/>
      <c r="S66" s="27"/>
      <c r="T66" s="28"/>
      <c r="U66" s="18" t="s">
        <v>663</v>
      </c>
      <c r="V66" s="29" t="n">
        <v>45881</v>
      </c>
      <c r="W66" s="18" t="s">
        <v>664</v>
      </c>
      <c r="X66" s="18"/>
      <c r="Y66" s="18" t="s">
        <v>665</v>
      </c>
      <c r="Z66" s="18" t="s">
        <v>149</v>
      </c>
      <c r="AA66" s="18" t="s">
        <v>666</v>
      </c>
      <c r="AB66" s="18" t="s">
        <v>151</v>
      </c>
      <c r="AC66" s="18"/>
    </row>
    <row r="67" customFormat="false" ht="30" hidden="false" customHeight="true" outlineLevel="0" collapsed="false">
      <c r="A67" s="18" t="s">
        <v>620</v>
      </c>
      <c r="B67" s="19" t="n">
        <v>4</v>
      </c>
      <c r="C67" s="20" t="str">
        <f aca="false">IF(L67="","C",IF(L67&gt;=Lists!$I$2,"A",IF(L67&gt;=Lists!$I$3,"B","C")))</f>
        <v>B</v>
      </c>
      <c r="D67" s="21" t="s">
        <v>97</v>
      </c>
      <c r="E67" s="22" t="s">
        <v>667</v>
      </c>
      <c r="F67" s="18"/>
      <c r="G67" s="30" t="s">
        <v>153</v>
      </c>
      <c r="H67" s="18"/>
      <c r="I67" s="21" t="s">
        <v>661</v>
      </c>
      <c r="J67" s="18" t="s">
        <v>662</v>
      </c>
      <c r="K67" s="18" t="s">
        <v>43</v>
      </c>
      <c r="L67" s="24" t="n">
        <v>200000</v>
      </c>
      <c r="M67" s="19" t="n">
        <f aca="false">IF(G67="To be found",COUNTIF($E$2:$E$9999,E67),COUNTIF($G$2:$G$9999,G67))</f>
        <v>1</v>
      </c>
      <c r="N67" s="25"/>
      <c r="O67" s="25" t="s">
        <v>8</v>
      </c>
      <c r="P67" s="26" t="n">
        <v>0</v>
      </c>
      <c r="Q67" s="27"/>
      <c r="R67" s="25"/>
      <c r="S67" s="27"/>
      <c r="T67" s="28"/>
      <c r="U67" s="18" t="s">
        <v>663</v>
      </c>
      <c r="V67" s="29" t="n">
        <v>45881</v>
      </c>
      <c r="W67" s="18" t="s">
        <v>668</v>
      </c>
      <c r="X67" s="18"/>
      <c r="Y67" s="18" t="s">
        <v>665</v>
      </c>
      <c r="Z67" s="18" t="s">
        <v>149</v>
      </c>
      <c r="AA67" s="18" t="s">
        <v>666</v>
      </c>
      <c r="AB67" s="18" t="s">
        <v>151</v>
      </c>
      <c r="AC67" s="18"/>
    </row>
    <row r="68" customFormat="false" ht="30" hidden="false" customHeight="true" outlineLevel="0" collapsed="false">
      <c r="A68" s="18" t="s">
        <v>669</v>
      </c>
      <c r="B68" s="19" t="n">
        <v>1</v>
      </c>
      <c r="C68" s="20" t="str">
        <f aca="false">IF(L68="","C",IF(L68&gt;=Lists!$I$2,"A",IF(L68&gt;=Lists!$I$3,"B","C")))</f>
        <v>C</v>
      </c>
      <c r="D68" s="21" t="s">
        <v>137</v>
      </c>
      <c r="E68" s="22" t="s">
        <v>670</v>
      </c>
      <c r="F68" s="18" t="s">
        <v>671</v>
      </c>
      <c r="G68" s="23" t="s">
        <v>672</v>
      </c>
      <c r="H68" s="23" t="s">
        <v>673</v>
      </c>
      <c r="I68" s="21" t="s">
        <v>674</v>
      </c>
      <c r="J68" s="18" t="s">
        <v>569</v>
      </c>
      <c r="K68" s="18" t="s">
        <v>43</v>
      </c>
      <c r="L68" s="24" t="n">
        <v>50000</v>
      </c>
      <c r="M68" s="19" t="n">
        <f aca="false">IF(G68="To be found",COUNTIF($E$2:$E$9999,E68),COUNTIF($G$2:$G$9999,G68))</f>
        <v>2</v>
      </c>
      <c r="N68" s="25"/>
      <c r="O68" s="25" t="s">
        <v>8</v>
      </c>
      <c r="P68" s="26" t="n">
        <v>0</v>
      </c>
      <c r="Q68" s="27"/>
      <c r="R68" s="25"/>
      <c r="S68" s="27"/>
      <c r="T68" s="28"/>
      <c r="U68" s="18" t="s">
        <v>675</v>
      </c>
      <c r="V68" s="29" t="n">
        <v>46058</v>
      </c>
      <c r="W68" s="18" t="s">
        <v>676</v>
      </c>
      <c r="X68" s="23" t="s">
        <v>677</v>
      </c>
      <c r="Y68" s="18" t="s">
        <v>678</v>
      </c>
      <c r="Z68" s="18" t="s">
        <v>149</v>
      </c>
      <c r="AA68" s="18" t="s">
        <v>679</v>
      </c>
      <c r="AB68" s="18" t="s">
        <v>151</v>
      </c>
      <c r="AC68" s="18"/>
    </row>
    <row r="69" customFormat="false" ht="30" hidden="false" customHeight="true" outlineLevel="0" collapsed="false">
      <c r="A69" s="18" t="s">
        <v>680</v>
      </c>
      <c r="B69" s="19" t="n">
        <v>1</v>
      </c>
      <c r="C69" s="20" t="str">
        <f aca="false">IF(L69="","C",IF(L69&gt;=Lists!$I$2,"A",IF(L69&gt;=Lists!$I$3,"B","C")))</f>
        <v>C</v>
      </c>
      <c r="D69" s="21" t="s">
        <v>137</v>
      </c>
      <c r="E69" s="22" t="s">
        <v>681</v>
      </c>
      <c r="F69" s="18"/>
      <c r="G69" s="23" t="s">
        <v>682</v>
      </c>
      <c r="H69" s="23" t="s">
        <v>683</v>
      </c>
      <c r="I69" s="21" t="s">
        <v>684</v>
      </c>
      <c r="J69" s="18" t="s">
        <v>685</v>
      </c>
      <c r="K69" s="18" t="s">
        <v>42</v>
      </c>
      <c r="L69" s="24" t="n">
        <v>10000</v>
      </c>
      <c r="M69" s="19" t="n">
        <f aca="false">IF(G69="To be found",COUNTIF($E$2:$E$9999,E69),COUNTIF($G$2:$G$9999,G69))</f>
        <v>2</v>
      </c>
      <c r="N69" s="25"/>
      <c r="O69" s="25" t="s">
        <v>8</v>
      </c>
      <c r="P69" s="26" t="n">
        <v>0</v>
      </c>
      <c r="Q69" s="27"/>
      <c r="R69" s="25"/>
      <c r="S69" s="27"/>
      <c r="T69" s="28"/>
      <c r="U69" s="18" t="s">
        <v>686</v>
      </c>
      <c r="V69" s="29" t="n">
        <v>45940</v>
      </c>
      <c r="W69" s="18" t="s">
        <v>687</v>
      </c>
      <c r="X69" s="23" t="s">
        <v>688</v>
      </c>
      <c r="Y69" s="18" t="s">
        <v>689</v>
      </c>
      <c r="Z69" s="18" t="s">
        <v>149</v>
      </c>
      <c r="AA69" s="18" t="s">
        <v>690</v>
      </c>
      <c r="AB69" s="18" t="s">
        <v>151</v>
      </c>
      <c r="AC69" s="18" t="s">
        <v>691</v>
      </c>
    </row>
    <row r="70" customFormat="false" ht="30" hidden="false" customHeight="true" outlineLevel="0" collapsed="false">
      <c r="A70" s="18" t="s">
        <v>680</v>
      </c>
      <c r="B70" s="19" t="n">
        <v>1</v>
      </c>
      <c r="C70" s="20" t="str">
        <f aca="false">IF(L70="","C",IF(L70&gt;=Lists!$I$2,"A",IF(L70&gt;=Lists!$I$3,"B","C")))</f>
        <v>C</v>
      </c>
      <c r="D70" s="21" t="s">
        <v>97</v>
      </c>
      <c r="E70" s="22" t="s">
        <v>692</v>
      </c>
      <c r="F70" s="18"/>
      <c r="G70" s="30" t="s">
        <v>153</v>
      </c>
      <c r="H70" s="23" t="s">
        <v>693</v>
      </c>
      <c r="I70" s="21" t="s">
        <v>684</v>
      </c>
      <c r="J70" s="18" t="s">
        <v>685</v>
      </c>
      <c r="K70" s="18" t="s">
        <v>42</v>
      </c>
      <c r="L70" s="24" t="n">
        <v>10000</v>
      </c>
      <c r="M70" s="19" t="n">
        <f aca="false">IF(G70="To be found",COUNTIF($E$2:$E$9999,E70),COUNTIF($G$2:$G$9999,G70))</f>
        <v>2</v>
      </c>
      <c r="N70" s="25"/>
      <c r="O70" s="25" t="s">
        <v>8</v>
      </c>
      <c r="P70" s="26" t="n">
        <v>0</v>
      </c>
      <c r="Q70" s="27"/>
      <c r="R70" s="25"/>
      <c r="S70" s="27"/>
      <c r="T70" s="28"/>
      <c r="U70" s="18" t="s">
        <v>686</v>
      </c>
      <c r="V70" s="29" t="n">
        <v>45940</v>
      </c>
      <c r="W70" s="18" t="s">
        <v>694</v>
      </c>
      <c r="X70" s="23" t="s">
        <v>695</v>
      </c>
      <c r="Y70" s="18" t="s">
        <v>689</v>
      </c>
      <c r="Z70" s="18" t="s">
        <v>149</v>
      </c>
      <c r="AA70" s="18" t="s">
        <v>690</v>
      </c>
      <c r="AB70" s="18" t="s">
        <v>151</v>
      </c>
      <c r="AC70" s="18" t="s">
        <v>691</v>
      </c>
    </row>
    <row r="71" customFormat="false" ht="30" hidden="false" customHeight="true" outlineLevel="0" collapsed="false">
      <c r="A71" s="18" t="s">
        <v>696</v>
      </c>
      <c r="B71" s="19" t="n">
        <v>1</v>
      </c>
      <c r="C71" s="20" t="str">
        <f aca="false">IF(L71="","C",IF(L71&gt;=Lists!$I$2,"A",IF(L71&gt;=Lists!$I$3,"B","C")))</f>
        <v>C</v>
      </c>
      <c r="D71" s="21" t="s">
        <v>137</v>
      </c>
      <c r="E71" s="22" t="s">
        <v>681</v>
      </c>
      <c r="F71" s="18"/>
      <c r="G71" s="23" t="s">
        <v>682</v>
      </c>
      <c r="H71" s="23" t="s">
        <v>683</v>
      </c>
      <c r="I71" s="21" t="s">
        <v>684</v>
      </c>
      <c r="J71" s="18" t="s">
        <v>685</v>
      </c>
      <c r="K71" s="18" t="s">
        <v>42</v>
      </c>
      <c r="L71" s="24" t="n">
        <v>10000</v>
      </c>
      <c r="M71" s="19" t="n">
        <f aca="false">IF(G71="To be found",COUNTIF($E$2:$E$9999,E71),COUNTIF($G$2:$G$9999,G71))</f>
        <v>2</v>
      </c>
      <c r="N71" s="25"/>
      <c r="O71" s="25" t="s">
        <v>8</v>
      </c>
      <c r="P71" s="26" t="n">
        <v>0</v>
      </c>
      <c r="Q71" s="27"/>
      <c r="R71" s="25"/>
      <c r="S71" s="27"/>
      <c r="T71" s="28"/>
      <c r="U71" s="18" t="s">
        <v>686</v>
      </c>
      <c r="V71" s="29" t="n">
        <v>45940</v>
      </c>
      <c r="W71" s="18" t="s">
        <v>687</v>
      </c>
      <c r="X71" s="23" t="s">
        <v>688</v>
      </c>
      <c r="Y71" s="18" t="s">
        <v>689</v>
      </c>
      <c r="Z71" s="18" t="s">
        <v>149</v>
      </c>
      <c r="AA71" s="18" t="s">
        <v>690</v>
      </c>
      <c r="AB71" s="18" t="s">
        <v>151</v>
      </c>
      <c r="AC71" s="18" t="s">
        <v>697</v>
      </c>
    </row>
    <row r="72" customFormat="false" ht="30" hidden="false" customHeight="true" outlineLevel="0" collapsed="false">
      <c r="A72" s="18" t="s">
        <v>696</v>
      </c>
      <c r="B72" s="19" t="n">
        <v>1</v>
      </c>
      <c r="C72" s="20" t="str">
        <f aca="false">IF(L72="","C",IF(L72&gt;=Lists!$I$2,"A",IF(L72&gt;=Lists!$I$3,"B","C")))</f>
        <v>C</v>
      </c>
      <c r="D72" s="21" t="s">
        <v>97</v>
      </c>
      <c r="E72" s="22" t="s">
        <v>692</v>
      </c>
      <c r="F72" s="18"/>
      <c r="G72" s="30" t="s">
        <v>153</v>
      </c>
      <c r="H72" s="23" t="s">
        <v>693</v>
      </c>
      <c r="I72" s="21" t="s">
        <v>684</v>
      </c>
      <c r="J72" s="18" t="s">
        <v>685</v>
      </c>
      <c r="K72" s="18" t="s">
        <v>42</v>
      </c>
      <c r="L72" s="24" t="n">
        <v>10000</v>
      </c>
      <c r="M72" s="19" t="n">
        <f aca="false">IF(G72="To be found",COUNTIF($E$2:$E$9999,E72),COUNTIF($G$2:$G$9999,G72))</f>
        <v>2</v>
      </c>
      <c r="N72" s="25"/>
      <c r="O72" s="25" t="s">
        <v>8</v>
      </c>
      <c r="P72" s="26" t="n">
        <v>0</v>
      </c>
      <c r="Q72" s="27"/>
      <c r="R72" s="25"/>
      <c r="S72" s="27"/>
      <c r="T72" s="28"/>
      <c r="U72" s="18" t="s">
        <v>686</v>
      </c>
      <c r="V72" s="29" t="n">
        <v>45940</v>
      </c>
      <c r="W72" s="18" t="s">
        <v>694</v>
      </c>
      <c r="X72" s="23" t="s">
        <v>695</v>
      </c>
      <c r="Y72" s="18" t="s">
        <v>689</v>
      </c>
      <c r="Z72" s="18" t="s">
        <v>149</v>
      </c>
      <c r="AA72" s="18" t="s">
        <v>690</v>
      </c>
      <c r="AB72" s="18" t="s">
        <v>151</v>
      </c>
      <c r="AC72" s="18" t="s">
        <v>697</v>
      </c>
    </row>
    <row r="73" customFormat="false" ht="30" hidden="false" customHeight="true" outlineLevel="0" collapsed="false">
      <c r="A73" s="18" t="s">
        <v>698</v>
      </c>
      <c r="B73" s="19" t="n">
        <v>1</v>
      </c>
      <c r="C73" s="20" t="str">
        <f aca="false">IF(L73="","C",IF(L73&gt;=Lists!$I$2,"A",IF(L73&gt;=Lists!$I$3,"B","C")))</f>
        <v>A</v>
      </c>
      <c r="D73" s="21" t="s">
        <v>97</v>
      </c>
      <c r="E73" s="22" t="s">
        <v>699</v>
      </c>
      <c r="F73" s="18"/>
      <c r="G73" s="23" t="s">
        <v>700</v>
      </c>
      <c r="H73" s="23" t="s">
        <v>701</v>
      </c>
      <c r="I73" s="21" t="s">
        <v>702</v>
      </c>
      <c r="J73" s="18" t="s">
        <v>703</v>
      </c>
      <c r="K73" s="18" t="s">
        <v>42</v>
      </c>
      <c r="L73" s="24" t="n">
        <v>900000</v>
      </c>
      <c r="M73" s="19" t="n">
        <f aca="false">IF(G73="To be found",COUNTIF($E$2:$E$9999,E73),COUNTIF($G$2:$G$9999,G73))</f>
        <v>1</v>
      </c>
      <c r="N73" s="25"/>
      <c r="O73" s="25" t="s">
        <v>8</v>
      </c>
      <c r="P73" s="26" t="n">
        <v>0</v>
      </c>
      <c r="Q73" s="27"/>
      <c r="R73" s="25"/>
      <c r="S73" s="27"/>
      <c r="T73" s="28"/>
      <c r="U73" s="18" t="s">
        <v>704</v>
      </c>
      <c r="V73" s="29" t="n">
        <v>45961</v>
      </c>
      <c r="W73" s="18" t="s">
        <v>705</v>
      </c>
      <c r="X73" s="18"/>
      <c r="Y73" s="18" t="s">
        <v>706</v>
      </c>
      <c r="Z73" s="18" t="s">
        <v>707</v>
      </c>
      <c r="AA73" s="18"/>
      <c r="AB73" s="18" t="s">
        <v>151</v>
      </c>
      <c r="AC73" s="18"/>
    </row>
    <row r="74" customFormat="false" ht="30" hidden="false" customHeight="true" outlineLevel="0" collapsed="false">
      <c r="A74" s="18" t="s">
        <v>708</v>
      </c>
      <c r="B74" s="19" t="n">
        <v>1</v>
      </c>
      <c r="C74" s="20" t="str">
        <f aca="false">IF(L74="","C",IF(L74&gt;=Lists!$I$2,"A",IF(L74&gt;=Lists!$I$3,"B","C")))</f>
        <v>B</v>
      </c>
      <c r="D74" s="21" t="s">
        <v>137</v>
      </c>
      <c r="E74" s="22" t="s">
        <v>709</v>
      </c>
      <c r="F74" s="18"/>
      <c r="G74" s="23" t="s">
        <v>710</v>
      </c>
      <c r="H74" s="18"/>
      <c r="I74" s="21" t="s">
        <v>711</v>
      </c>
      <c r="J74" s="18" t="s">
        <v>712</v>
      </c>
      <c r="K74" s="18" t="s">
        <v>42</v>
      </c>
      <c r="L74" s="24" t="n">
        <v>200000</v>
      </c>
      <c r="M74" s="19" t="n">
        <f aca="false">IF(G74="To be found",COUNTIF($E$2:$E$9999,E74),COUNTIF($G$2:$G$9999,G74))</f>
        <v>1</v>
      </c>
      <c r="N74" s="25"/>
      <c r="O74" s="25" t="s">
        <v>8</v>
      </c>
      <c r="P74" s="26" t="n">
        <v>0</v>
      </c>
      <c r="Q74" s="27"/>
      <c r="R74" s="25"/>
      <c r="S74" s="27"/>
      <c r="T74" s="28"/>
      <c r="U74" s="18" t="s">
        <v>713</v>
      </c>
      <c r="V74" s="29" t="n">
        <v>45975</v>
      </c>
      <c r="W74" s="18" t="s">
        <v>714</v>
      </c>
      <c r="X74" s="23" t="s">
        <v>715</v>
      </c>
      <c r="Y74" s="18" t="s">
        <v>716</v>
      </c>
      <c r="Z74" s="18" t="s">
        <v>149</v>
      </c>
      <c r="AA74" s="18" t="s">
        <v>717</v>
      </c>
      <c r="AB74" s="18" t="s">
        <v>151</v>
      </c>
      <c r="AC74" s="18"/>
    </row>
    <row r="75" customFormat="false" ht="30" hidden="false" customHeight="true" outlineLevel="0" collapsed="false">
      <c r="A75" s="18" t="s">
        <v>708</v>
      </c>
      <c r="B75" s="19" t="n">
        <v>1</v>
      </c>
      <c r="C75" s="20" t="str">
        <f aca="false">IF(L75="","C",IF(L75&gt;=Lists!$I$2,"A",IF(L75&gt;=Lists!$I$3,"B","C")))</f>
        <v>B</v>
      </c>
      <c r="D75" s="21" t="s">
        <v>97</v>
      </c>
      <c r="E75" s="22" t="s">
        <v>718</v>
      </c>
      <c r="F75" s="18"/>
      <c r="G75" s="23" t="s">
        <v>719</v>
      </c>
      <c r="H75" s="23" t="s">
        <v>720</v>
      </c>
      <c r="I75" s="21" t="s">
        <v>711</v>
      </c>
      <c r="J75" s="18" t="s">
        <v>712</v>
      </c>
      <c r="K75" s="18" t="s">
        <v>42</v>
      </c>
      <c r="L75" s="24" t="n">
        <v>200000</v>
      </c>
      <c r="M75" s="19" t="n">
        <f aca="false">IF(G75="To be found",COUNTIF($E$2:$E$9999,E75),COUNTIF($G$2:$G$9999,G75))</f>
        <v>1</v>
      </c>
      <c r="N75" s="25"/>
      <c r="O75" s="25" t="s">
        <v>8</v>
      </c>
      <c r="P75" s="26" t="n">
        <v>0</v>
      </c>
      <c r="Q75" s="27"/>
      <c r="R75" s="25"/>
      <c r="S75" s="27"/>
      <c r="T75" s="28"/>
      <c r="U75" s="18" t="s">
        <v>713</v>
      </c>
      <c r="V75" s="29" t="n">
        <v>45975</v>
      </c>
      <c r="W75" s="18" t="s">
        <v>721</v>
      </c>
      <c r="X75" s="23" t="s">
        <v>722</v>
      </c>
      <c r="Y75" s="18" t="s">
        <v>716</v>
      </c>
      <c r="Z75" s="18" t="s">
        <v>149</v>
      </c>
      <c r="AA75" s="18" t="s">
        <v>717</v>
      </c>
      <c r="AB75" s="18" t="s">
        <v>151</v>
      </c>
      <c r="AC75" s="18"/>
    </row>
    <row r="76" customFormat="false" ht="30" hidden="false" customHeight="true" outlineLevel="0" collapsed="false">
      <c r="A76" s="18" t="s">
        <v>723</v>
      </c>
      <c r="B76" s="19" t="n">
        <v>1</v>
      </c>
      <c r="C76" s="20" t="str">
        <f aca="false">IF(L76="","C",IF(L76&gt;=Lists!$I$2,"A",IF(L76&gt;=Lists!$I$3,"B","C")))</f>
        <v>A</v>
      </c>
      <c r="D76" s="21" t="s">
        <v>137</v>
      </c>
      <c r="E76" s="22" t="s">
        <v>724</v>
      </c>
      <c r="F76" s="18"/>
      <c r="G76" s="30" t="s">
        <v>153</v>
      </c>
      <c r="H76" s="18"/>
      <c r="I76" s="21" t="s">
        <v>725</v>
      </c>
      <c r="J76" s="18" t="s">
        <v>726</v>
      </c>
      <c r="K76" s="18" t="s">
        <v>42</v>
      </c>
      <c r="L76" s="24" t="n">
        <v>800000</v>
      </c>
      <c r="M76" s="19" t="n">
        <f aca="false">IF(G76="To be found",COUNTIF($E$2:$E$9999,E76),COUNTIF($G$2:$G$9999,G76))</f>
        <v>1</v>
      </c>
      <c r="N76" s="25"/>
      <c r="O76" s="25" t="s">
        <v>8</v>
      </c>
      <c r="P76" s="26" t="n">
        <v>0</v>
      </c>
      <c r="Q76" s="27"/>
      <c r="R76" s="25"/>
      <c r="S76" s="27"/>
      <c r="T76" s="28"/>
      <c r="U76" s="18" t="s">
        <v>727</v>
      </c>
      <c r="V76" s="29" t="n">
        <v>45975</v>
      </c>
      <c r="W76" s="18" t="s">
        <v>728</v>
      </c>
      <c r="X76" s="18"/>
      <c r="Y76" s="18" t="s">
        <v>729</v>
      </c>
      <c r="Z76" s="18" t="s">
        <v>229</v>
      </c>
      <c r="AA76" s="18" t="s">
        <v>730</v>
      </c>
      <c r="AB76" s="18" t="s">
        <v>151</v>
      </c>
      <c r="AC76" s="18"/>
    </row>
    <row r="77" customFormat="false" ht="30" hidden="false" customHeight="true" outlineLevel="0" collapsed="false">
      <c r="A77" s="18" t="s">
        <v>723</v>
      </c>
      <c r="B77" s="19" t="n">
        <v>1</v>
      </c>
      <c r="C77" s="20" t="str">
        <f aca="false">IF(L77="","C",IF(L77&gt;=Lists!$I$2,"A",IF(L77&gt;=Lists!$I$3,"B","C")))</f>
        <v>A</v>
      </c>
      <c r="D77" s="21" t="s">
        <v>97</v>
      </c>
      <c r="E77" s="22" t="s">
        <v>731</v>
      </c>
      <c r="F77" s="18"/>
      <c r="G77" s="23" t="s">
        <v>732</v>
      </c>
      <c r="H77" s="23" t="s">
        <v>733</v>
      </c>
      <c r="I77" s="21" t="s">
        <v>725</v>
      </c>
      <c r="J77" s="18" t="s">
        <v>726</v>
      </c>
      <c r="K77" s="18" t="s">
        <v>42</v>
      </c>
      <c r="L77" s="24" t="n">
        <v>800000</v>
      </c>
      <c r="M77" s="19" t="n">
        <f aca="false">IF(G77="To be found",COUNTIF($E$2:$E$9999,E77),COUNTIF($G$2:$G$9999,G77))</f>
        <v>1</v>
      </c>
      <c r="N77" s="25"/>
      <c r="O77" s="25" t="s">
        <v>8</v>
      </c>
      <c r="P77" s="26" t="n">
        <v>0</v>
      </c>
      <c r="Q77" s="27"/>
      <c r="R77" s="25"/>
      <c r="S77" s="27"/>
      <c r="T77" s="28"/>
      <c r="U77" s="18" t="s">
        <v>727</v>
      </c>
      <c r="V77" s="29" t="n">
        <v>45975</v>
      </c>
      <c r="W77" s="18" t="s">
        <v>734</v>
      </c>
      <c r="X77" s="23" t="s">
        <v>735</v>
      </c>
      <c r="Y77" s="18" t="s">
        <v>729</v>
      </c>
      <c r="Z77" s="18" t="s">
        <v>229</v>
      </c>
      <c r="AA77" s="18" t="s">
        <v>730</v>
      </c>
      <c r="AB77" s="18" t="s">
        <v>151</v>
      </c>
      <c r="AC77" s="18"/>
    </row>
    <row r="78" customFormat="false" ht="30" hidden="false" customHeight="true" outlineLevel="0" collapsed="false">
      <c r="A78" s="18" t="s">
        <v>736</v>
      </c>
      <c r="B78" s="19" t="n">
        <v>1</v>
      </c>
      <c r="C78" s="20" t="str">
        <f aca="false">IF(L78="","C",IF(L78&gt;=Lists!$I$2,"A",IF(L78&gt;=Lists!$I$3,"B","C")))</f>
        <v>A</v>
      </c>
      <c r="D78" s="21" t="s">
        <v>137</v>
      </c>
      <c r="E78" s="22" t="s">
        <v>737</v>
      </c>
      <c r="F78" s="18" t="s">
        <v>738</v>
      </c>
      <c r="G78" s="23" t="s">
        <v>739</v>
      </c>
      <c r="H78" s="23" t="s">
        <v>740</v>
      </c>
      <c r="I78" s="21" t="s">
        <v>741</v>
      </c>
      <c r="J78" s="18" t="s">
        <v>742</v>
      </c>
      <c r="K78" s="18" t="s">
        <v>42</v>
      </c>
      <c r="L78" s="24" t="n">
        <v>350000</v>
      </c>
      <c r="M78" s="19" t="n">
        <f aca="false">IF(G78="To be found",COUNTIF($E$2:$E$9999,E78),COUNTIF($G$2:$G$9999,G78))</f>
        <v>1</v>
      </c>
      <c r="N78" s="25"/>
      <c r="O78" s="25" t="s">
        <v>8</v>
      </c>
      <c r="P78" s="26" t="n">
        <v>0</v>
      </c>
      <c r="Q78" s="27"/>
      <c r="R78" s="25"/>
      <c r="S78" s="27"/>
      <c r="T78" s="28"/>
      <c r="U78" s="18" t="s">
        <v>743</v>
      </c>
      <c r="V78" s="29" t="n">
        <v>45975</v>
      </c>
      <c r="W78" s="18" t="s">
        <v>744</v>
      </c>
      <c r="X78" s="23" t="s">
        <v>745</v>
      </c>
      <c r="Y78" s="18" t="s">
        <v>746</v>
      </c>
      <c r="Z78" s="18" t="s">
        <v>149</v>
      </c>
      <c r="AA78" s="18" t="s">
        <v>747</v>
      </c>
      <c r="AB78" s="18" t="s">
        <v>151</v>
      </c>
      <c r="AC78" s="18"/>
    </row>
    <row r="79" customFormat="false" ht="30" hidden="false" customHeight="true" outlineLevel="0" collapsed="false">
      <c r="A79" s="18" t="s">
        <v>748</v>
      </c>
      <c r="B79" s="19" t="n">
        <v>1</v>
      </c>
      <c r="C79" s="20" t="str">
        <f aca="false">IF(L79="","C",IF(L79&gt;=Lists!$I$2,"A",IF(L79&gt;=Lists!$I$3,"B","C")))</f>
        <v>C</v>
      </c>
      <c r="D79" s="21" t="s">
        <v>137</v>
      </c>
      <c r="E79" s="22" t="s">
        <v>749</v>
      </c>
      <c r="F79" s="18"/>
      <c r="G79" s="23" t="s">
        <v>750</v>
      </c>
      <c r="H79" s="18"/>
      <c r="I79" s="21" t="s">
        <v>751</v>
      </c>
      <c r="J79" s="18" t="s">
        <v>752</v>
      </c>
      <c r="K79" s="18" t="s">
        <v>42</v>
      </c>
      <c r="L79" s="24" t="n">
        <v>40000</v>
      </c>
      <c r="M79" s="19" t="n">
        <f aca="false">IF(G79="To be found",COUNTIF($E$2:$E$9999,E79),COUNTIF($G$2:$G$9999,G79))</f>
        <v>1</v>
      </c>
      <c r="N79" s="25"/>
      <c r="O79" s="25" t="s">
        <v>8</v>
      </c>
      <c r="P79" s="26" t="n">
        <v>0</v>
      </c>
      <c r="Q79" s="27"/>
      <c r="R79" s="25"/>
      <c r="S79" s="27"/>
      <c r="T79" s="28"/>
      <c r="U79" s="18" t="s">
        <v>753</v>
      </c>
      <c r="V79" s="29" t="n">
        <v>46010</v>
      </c>
      <c r="W79" s="18" t="s">
        <v>754</v>
      </c>
      <c r="X79" s="18"/>
      <c r="Y79" s="18" t="s">
        <v>754</v>
      </c>
      <c r="Z79" s="18" t="s">
        <v>149</v>
      </c>
      <c r="AA79" s="18" t="s">
        <v>755</v>
      </c>
      <c r="AB79" s="18" t="s">
        <v>151</v>
      </c>
      <c r="AC79" s="18"/>
    </row>
    <row r="80" customFormat="false" ht="30" hidden="false" customHeight="true" outlineLevel="0" collapsed="false">
      <c r="A80" s="18" t="s">
        <v>748</v>
      </c>
      <c r="B80" s="19" t="n">
        <v>1</v>
      </c>
      <c r="C80" s="20" t="str">
        <f aca="false">IF(L80="","C",IF(L80&gt;=Lists!$I$2,"A",IF(L80&gt;=Lists!$I$3,"B","C")))</f>
        <v>C</v>
      </c>
      <c r="D80" s="21" t="s">
        <v>97</v>
      </c>
      <c r="E80" s="22" t="s">
        <v>756</v>
      </c>
      <c r="F80" s="18"/>
      <c r="G80" s="30" t="s">
        <v>153</v>
      </c>
      <c r="H80" s="23" t="s">
        <v>757</v>
      </c>
      <c r="I80" s="21" t="s">
        <v>751</v>
      </c>
      <c r="J80" s="18" t="s">
        <v>752</v>
      </c>
      <c r="K80" s="18" t="s">
        <v>42</v>
      </c>
      <c r="L80" s="24" t="n">
        <v>40000</v>
      </c>
      <c r="M80" s="19" t="n">
        <f aca="false">IF(G80="To be found",COUNTIF($E$2:$E$9999,E80),COUNTIF($G$2:$G$9999,G80))</f>
        <v>1</v>
      </c>
      <c r="N80" s="25"/>
      <c r="O80" s="25" t="s">
        <v>8</v>
      </c>
      <c r="P80" s="26" t="n">
        <v>0</v>
      </c>
      <c r="Q80" s="27"/>
      <c r="R80" s="25"/>
      <c r="S80" s="27"/>
      <c r="T80" s="28"/>
      <c r="U80" s="18" t="s">
        <v>753</v>
      </c>
      <c r="V80" s="29" t="n">
        <v>46010</v>
      </c>
      <c r="W80" s="18" t="s">
        <v>758</v>
      </c>
      <c r="X80" s="18"/>
      <c r="Y80" s="18" t="s">
        <v>754</v>
      </c>
      <c r="Z80" s="18" t="s">
        <v>149</v>
      </c>
      <c r="AA80" s="18" t="s">
        <v>755</v>
      </c>
      <c r="AB80" s="18" t="s">
        <v>151</v>
      </c>
      <c r="AC80" s="18"/>
    </row>
    <row r="81" customFormat="false" ht="30" hidden="false" customHeight="true" outlineLevel="0" collapsed="false">
      <c r="A81" s="18" t="s">
        <v>759</v>
      </c>
      <c r="B81" s="19" t="n">
        <v>1</v>
      </c>
      <c r="C81" s="20" t="str">
        <f aca="false">IF(L81="","C",IF(L81&gt;=Lists!$I$2,"A",IF(L81&gt;=Lists!$I$3,"B","C")))</f>
        <v>B</v>
      </c>
      <c r="D81" s="21" t="s">
        <v>137</v>
      </c>
      <c r="E81" s="22" t="s">
        <v>760</v>
      </c>
      <c r="F81" s="18"/>
      <c r="G81" s="23" t="s">
        <v>761</v>
      </c>
      <c r="H81" s="23" t="s">
        <v>762</v>
      </c>
      <c r="I81" s="21" t="s">
        <v>763</v>
      </c>
      <c r="J81" s="18" t="s">
        <v>742</v>
      </c>
      <c r="K81" s="18" t="s">
        <v>42</v>
      </c>
      <c r="L81" s="24" t="n">
        <v>150000</v>
      </c>
      <c r="M81" s="19" t="n">
        <f aca="false">IF(G81="To be found",COUNTIF($E$2:$E$9999,E81),COUNTIF($G$2:$G$9999,G81))</f>
        <v>1</v>
      </c>
      <c r="N81" s="25"/>
      <c r="O81" s="25" t="s">
        <v>8</v>
      </c>
      <c r="P81" s="26" t="n">
        <v>0</v>
      </c>
      <c r="Q81" s="27"/>
      <c r="R81" s="25"/>
      <c r="S81" s="27"/>
      <c r="T81" s="28"/>
      <c r="U81" s="18" t="s">
        <v>764</v>
      </c>
      <c r="V81" s="29" t="n">
        <v>46003</v>
      </c>
      <c r="W81" s="18" t="s">
        <v>765</v>
      </c>
      <c r="X81" s="23" t="s">
        <v>766</v>
      </c>
      <c r="Y81" s="18" t="s">
        <v>767</v>
      </c>
      <c r="Z81" s="18" t="s">
        <v>254</v>
      </c>
      <c r="AA81" s="18" t="s">
        <v>768</v>
      </c>
      <c r="AB81" s="18" t="s">
        <v>151</v>
      </c>
      <c r="AC81" s="18"/>
    </row>
    <row r="82" customFormat="false" ht="30" hidden="false" customHeight="true" outlineLevel="0" collapsed="false">
      <c r="A82" s="18" t="s">
        <v>759</v>
      </c>
      <c r="B82" s="19" t="n">
        <v>1</v>
      </c>
      <c r="C82" s="20" t="str">
        <f aca="false">IF(L82="","C",IF(L82&gt;=Lists!$I$2,"A",IF(L82&gt;=Lists!$I$3,"B","C")))</f>
        <v>B</v>
      </c>
      <c r="D82" s="21" t="s">
        <v>97</v>
      </c>
      <c r="E82" s="22" t="s">
        <v>769</v>
      </c>
      <c r="F82" s="18"/>
      <c r="G82" s="23" t="s">
        <v>770</v>
      </c>
      <c r="H82" s="23" t="s">
        <v>771</v>
      </c>
      <c r="I82" s="21" t="s">
        <v>763</v>
      </c>
      <c r="J82" s="18" t="s">
        <v>742</v>
      </c>
      <c r="K82" s="18" t="s">
        <v>42</v>
      </c>
      <c r="L82" s="24" t="n">
        <v>150000</v>
      </c>
      <c r="M82" s="19" t="n">
        <f aca="false">IF(G82="To be found",COUNTIF($E$2:$E$9999,E82),COUNTIF($G$2:$G$9999,G82))</f>
        <v>1</v>
      </c>
      <c r="N82" s="25"/>
      <c r="O82" s="25" t="s">
        <v>8</v>
      </c>
      <c r="P82" s="26" t="n">
        <v>0</v>
      </c>
      <c r="Q82" s="27"/>
      <c r="R82" s="25"/>
      <c r="S82" s="27"/>
      <c r="T82" s="28"/>
      <c r="U82" s="18" t="s">
        <v>764</v>
      </c>
      <c r="V82" s="29" t="n">
        <v>46003</v>
      </c>
      <c r="W82" s="18" t="s">
        <v>772</v>
      </c>
      <c r="X82" s="23" t="s">
        <v>773</v>
      </c>
      <c r="Y82" s="18" t="s">
        <v>767</v>
      </c>
      <c r="Z82" s="18" t="s">
        <v>254</v>
      </c>
      <c r="AA82" s="18" t="s">
        <v>768</v>
      </c>
      <c r="AB82" s="18" t="s">
        <v>151</v>
      </c>
      <c r="AC82" s="18"/>
    </row>
    <row r="83" customFormat="false" ht="30" hidden="false" customHeight="true" outlineLevel="0" collapsed="false">
      <c r="A83" s="18" t="s">
        <v>774</v>
      </c>
      <c r="B83" s="19" t="n">
        <v>1</v>
      </c>
      <c r="C83" s="20" t="str">
        <f aca="false">IF(L83="","C",IF(L83&gt;=Lists!$I$2,"A",IF(L83&gt;=Lists!$I$3,"B","C")))</f>
        <v>A</v>
      </c>
      <c r="D83" s="21" t="s">
        <v>137</v>
      </c>
      <c r="E83" s="22" t="s">
        <v>775</v>
      </c>
      <c r="F83" s="18" t="s">
        <v>776</v>
      </c>
      <c r="G83" s="30" t="s">
        <v>153</v>
      </c>
      <c r="H83" s="18"/>
      <c r="I83" s="21" t="s">
        <v>777</v>
      </c>
      <c r="J83" s="18" t="s">
        <v>703</v>
      </c>
      <c r="K83" s="18" t="s">
        <v>42</v>
      </c>
      <c r="L83" s="24" t="n">
        <v>800000</v>
      </c>
      <c r="M83" s="19" t="n">
        <f aca="false">IF(G83="To be found",COUNTIF($E$2:$E$9999,E83),COUNTIF($G$2:$G$9999,G83))</f>
        <v>1</v>
      </c>
      <c r="N83" s="25"/>
      <c r="O83" s="25" t="s">
        <v>8</v>
      </c>
      <c r="P83" s="26" t="n">
        <v>0</v>
      </c>
      <c r="Q83" s="27"/>
      <c r="R83" s="25"/>
      <c r="S83" s="27"/>
      <c r="T83" s="28"/>
      <c r="U83" s="18" t="s">
        <v>778</v>
      </c>
      <c r="V83" s="29" t="n">
        <v>46010</v>
      </c>
      <c r="W83" s="18" t="s">
        <v>779</v>
      </c>
      <c r="X83" s="18"/>
      <c r="Y83" s="18" t="s">
        <v>780</v>
      </c>
      <c r="Z83" s="18" t="s">
        <v>229</v>
      </c>
      <c r="AA83" s="18" t="s">
        <v>781</v>
      </c>
      <c r="AB83" s="18" t="s">
        <v>151</v>
      </c>
      <c r="AC83" s="18"/>
    </row>
    <row r="84" customFormat="false" ht="30" hidden="false" customHeight="true" outlineLevel="0" collapsed="false">
      <c r="A84" s="18" t="s">
        <v>774</v>
      </c>
      <c r="B84" s="19" t="n">
        <v>1</v>
      </c>
      <c r="C84" s="20" t="str">
        <f aca="false">IF(L84="","C",IF(L84&gt;=Lists!$I$2,"A",IF(L84&gt;=Lists!$I$3,"B","C")))</f>
        <v>A</v>
      </c>
      <c r="D84" s="21" t="s">
        <v>97</v>
      </c>
      <c r="E84" s="22" t="s">
        <v>782</v>
      </c>
      <c r="F84" s="18"/>
      <c r="G84" s="23" t="s">
        <v>783</v>
      </c>
      <c r="H84" s="23" t="s">
        <v>784</v>
      </c>
      <c r="I84" s="21" t="s">
        <v>777</v>
      </c>
      <c r="J84" s="18" t="s">
        <v>703</v>
      </c>
      <c r="K84" s="18" t="s">
        <v>42</v>
      </c>
      <c r="L84" s="24" t="n">
        <v>800000</v>
      </c>
      <c r="M84" s="19" t="n">
        <f aca="false">IF(G84="To be found",COUNTIF($E$2:$E$9999,E84),COUNTIF($G$2:$G$9999,G84))</f>
        <v>1</v>
      </c>
      <c r="N84" s="25"/>
      <c r="O84" s="25" t="s">
        <v>8</v>
      </c>
      <c r="P84" s="26" t="n">
        <v>0</v>
      </c>
      <c r="Q84" s="27"/>
      <c r="R84" s="25"/>
      <c r="S84" s="27"/>
      <c r="T84" s="28"/>
      <c r="U84" s="18" t="s">
        <v>778</v>
      </c>
      <c r="V84" s="29" t="n">
        <v>46010</v>
      </c>
      <c r="W84" s="18" t="s">
        <v>785</v>
      </c>
      <c r="X84" s="23" t="s">
        <v>786</v>
      </c>
      <c r="Y84" s="18" t="s">
        <v>780</v>
      </c>
      <c r="Z84" s="18" t="s">
        <v>229</v>
      </c>
      <c r="AA84" s="18" t="s">
        <v>781</v>
      </c>
      <c r="AB84" s="18" t="s">
        <v>151</v>
      </c>
      <c r="AC84" s="18"/>
    </row>
    <row r="85" customFormat="false" ht="30" hidden="false" customHeight="true" outlineLevel="0" collapsed="false">
      <c r="A85" s="18" t="s">
        <v>787</v>
      </c>
      <c r="B85" s="19" t="n">
        <v>1</v>
      </c>
      <c r="C85" s="20" t="str">
        <f aca="false">IF(L85="","C",IF(L85&gt;=Lists!$I$2,"A",IF(L85&gt;=Lists!$I$3,"B","C")))</f>
        <v>C</v>
      </c>
      <c r="D85" s="21" t="s">
        <v>137</v>
      </c>
      <c r="E85" s="22" t="s">
        <v>788</v>
      </c>
      <c r="F85" s="18" t="s">
        <v>789</v>
      </c>
      <c r="G85" s="23" t="s">
        <v>790</v>
      </c>
      <c r="H85" s="23" t="s">
        <v>791</v>
      </c>
      <c r="I85" s="21" t="s">
        <v>792</v>
      </c>
      <c r="J85" s="18" t="s">
        <v>742</v>
      </c>
      <c r="K85" s="18" t="s">
        <v>42</v>
      </c>
      <c r="L85" s="24" t="n">
        <v>50000</v>
      </c>
      <c r="M85" s="19" t="n">
        <f aca="false">IF(G85="To be found",COUNTIF($E$2:$E$9999,E85),COUNTIF($G$2:$G$9999,G85))</f>
        <v>1</v>
      </c>
      <c r="N85" s="25"/>
      <c r="O85" s="25" t="s">
        <v>8</v>
      </c>
      <c r="P85" s="26" t="n">
        <v>0</v>
      </c>
      <c r="Q85" s="27"/>
      <c r="R85" s="25"/>
      <c r="S85" s="27"/>
      <c r="T85" s="28"/>
      <c r="U85" s="18" t="s">
        <v>793</v>
      </c>
      <c r="V85" s="29" t="n">
        <v>45821</v>
      </c>
      <c r="W85" s="18" t="s">
        <v>794</v>
      </c>
      <c r="X85" s="23" t="s">
        <v>795</v>
      </c>
      <c r="Y85" s="18" t="s">
        <v>796</v>
      </c>
      <c r="Z85" s="18" t="s">
        <v>797</v>
      </c>
      <c r="AA85" s="18" t="s">
        <v>798</v>
      </c>
      <c r="AB85" s="18" t="s">
        <v>151</v>
      </c>
      <c r="AC85" s="18"/>
    </row>
    <row r="86" customFormat="false" ht="30" hidden="false" customHeight="true" outlineLevel="0" collapsed="false">
      <c r="A86" s="18" t="s">
        <v>787</v>
      </c>
      <c r="B86" s="19" t="n">
        <v>1</v>
      </c>
      <c r="C86" s="20" t="str">
        <f aca="false">IF(L86="","C",IF(L86&gt;=Lists!$I$2,"A",IF(L86&gt;=Lists!$I$3,"B","C")))</f>
        <v>C</v>
      </c>
      <c r="D86" s="21" t="s">
        <v>97</v>
      </c>
      <c r="E86" s="22" t="s">
        <v>799</v>
      </c>
      <c r="F86" s="18" t="s">
        <v>800</v>
      </c>
      <c r="G86" s="23" t="s">
        <v>801</v>
      </c>
      <c r="H86" s="23" t="s">
        <v>802</v>
      </c>
      <c r="I86" s="21" t="s">
        <v>792</v>
      </c>
      <c r="J86" s="18" t="s">
        <v>742</v>
      </c>
      <c r="K86" s="18" t="s">
        <v>42</v>
      </c>
      <c r="L86" s="24" t="n">
        <v>50000</v>
      </c>
      <c r="M86" s="19" t="n">
        <f aca="false">IF(G86="To be found",COUNTIF($E$2:$E$9999,E86),COUNTIF($G$2:$G$9999,G86))</f>
        <v>1</v>
      </c>
      <c r="N86" s="25"/>
      <c r="O86" s="25" t="s">
        <v>8</v>
      </c>
      <c r="P86" s="26" t="n">
        <v>0</v>
      </c>
      <c r="Q86" s="27"/>
      <c r="R86" s="25"/>
      <c r="S86" s="27"/>
      <c r="T86" s="28"/>
      <c r="U86" s="18" t="s">
        <v>793</v>
      </c>
      <c r="V86" s="29" t="n">
        <v>45821</v>
      </c>
      <c r="W86" s="18" t="s">
        <v>796</v>
      </c>
      <c r="X86" s="23" t="s">
        <v>803</v>
      </c>
      <c r="Y86" s="18" t="s">
        <v>796</v>
      </c>
      <c r="Z86" s="18" t="s">
        <v>797</v>
      </c>
      <c r="AA86" s="18" t="s">
        <v>798</v>
      </c>
      <c r="AB86" s="18" t="s">
        <v>151</v>
      </c>
      <c r="AC86" s="18"/>
    </row>
    <row r="87" customFormat="false" ht="30" hidden="false" customHeight="true" outlineLevel="0" collapsed="false">
      <c r="A87" s="18" t="s">
        <v>804</v>
      </c>
      <c r="B87" s="19" t="n">
        <v>1</v>
      </c>
      <c r="C87" s="20" t="str">
        <f aca="false">IF(L87="","C",IF(L87&gt;=Lists!$I$2,"A",IF(L87&gt;=Lists!$I$3,"B","C")))</f>
        <v>B</v>
      </c>
      <c r="D87" s="21" t="s">
        <v>137</v>
      </c>
      <c r="E87" s="22" t="s">
        <v>805</v>
      </c>
      <c r="F87" s="18" t="s">
        <v>806</v>
      </c>
      <c r="G87" s="23" t="s">
        <v>807</v>
      </c>
      <c r="H87" s="23" t="s">
        <v>808</v>
      </c>
      <c r="I87" s="21" t="s">
        <v>809</v>
      </c>
      <c r="J87" s="18" t="s">
        <v>569</v>
      </c>
      <c r="K87" s="18" t="s">
        <v>43</v>
      </c>
      <c r="L87" s="24" t="n">
        <v>200000</v>
      </c>
      <c r="M87" s="19" t="n">
        <f aca="false">IF(G87="To be found",COUNTIF($E$2:$E$9999,E87),COUNTIF($G$2:$G$9999,G87))</f>
        <v>1</v>
      </c>
      <c r="N87" s="25"/>
      <c r="O87" s="25" t="s">
        <v>8</v>
      </c>
      <c r="P87" s="26" t="n">
        <v>0</v>
      </c>
      <c r="Q87" s="27"/>
      <c r="R87" s="25"/>
      <c r="S87" s="27"/>
      <c r="T87" s="28"/>
      <c r="U87" s="18" t="s">
        <v>810</v>
      </c>
      <c r="V87" s="29" t="n">
        <v>45743</v>
      </c>
      <c r="W87" s="18" t="s">
        <v>811</v>
      </c>
      <c r="X87" s="23" t="s">
        <v>812</v>
      </c>
      <c r="Y87" s="18" t="s">
        <v>813</v>
      </c>
      <c r="Z87" s="18" t="s">
        <v>149</v>
      </c>
      <c r="AA87" s="18" t="s">
        <v>814</v>
      </c>
      <c r="AB87" s="18" t="s">
        <v>151</v>
      </c>
      <c r="AC87" s="18"/>
    </row>
    <row r="88" customFormat="false" ht="30" hidden="false" customHeight="true" outlineLevel="0" collapsed="false">
      <c r="A88" s="18" t="s">
        <v>804</v>
      </c>
      <c r="B88" s="19" t="n">
        <v>1</v>
      </c>
      <c r="C88" s="20" t="str">
        <f aca="false">IF(L88="","C",IF(L88&gt;=Lists!$I$2,"A",IF(L88&gt;=Lists!$I$3,"B","C")))</f>
        <v>B</v>
      </c>
      <c r="D88" s="21" t="s">
        <v>97</v>
      </c>
      <c r="E88" s="22" t="s">
        <v>815</v>
      </c>
      <c r="F88" s="18" t="s">
        <v>816</v>
      </c>
      <c r="G88" s="30" t="s">
        <v>153</v>
      </c>
      <c r="H88" s="18"/>
      <c r="I88" s="21" t="s">
        <v>809</v>
      </c>
      <c r="J88" s="18" t="s">
        <v>569</v>
      </c>
      <c r="K88" s="18" t="s">
        <v>43</v>
      </c>
      <c r="L88" s="24" t="n">
        <v>200000</v>
      </c>
      <c r="M88" s="19" t="n">
        <f aca="false">IF(G88="To be found",COUNTIF($E$2:$E$9999,E88),COUNTIF($G$2:$G$9999,G88))</f>
        <v>1</v>
      </c>
      <c r="N88" s="25"/>
      <c r="O88" s="25" t="s">
        <v>8</v>
      </c>
      <c r="P88" s="26" t="n">
        <v>0</v>
      </c>
      <c r="Q88" s="27"/>
      <c r="R88" s="25"/>
      <c r="S88" s="27"/>
      <c r="T88" s="28"/>
      <c r="U88" s="18" t="s">
        <v>810</v>
      </c>
      <c r="V88" s="29" t="n">
        <v>45743</v>
      </c>
      <c r="W88" s="18" t="s">
        <v>817</v>
      </c>
      <c r="X88" s="23" t="s">
        <v>818</v>
      </c>
      <c r="Y88" s="18" t="s">
        <v>813</v>
      </c>
      <c r="Z88" s="18" t="s">
        <v>149</v>
      </c>
      <c r="AA88" s="18" t="s">
        <v>814</v>
      </c>
      <c r="AB88" s="18" t="s">
        <v>151</v>
      </c>
      <c r="AC88" s="18"/>
    </row>
    <row r="89" customFormat="false" ht="30" hidden="false" customHeight="true" outlineLevel="0" collapsed="false">
      <c r="A89" s="18" t="s">
        <v>819</v>
      </c>
      <c r="B89" s="19" t="n">
        <v>1</v>
      </c>
      <c r="C89" s="20" t="str">
        <f aca="false">IF(L89="","C",IF(L89&gt;=Lists!$I$2,"A",IF(L89&gt;=Lists!$I$3,"B","C")))</f>
        <v>C</v>
      </c>
      <c r="D89" s="21" t="s">
        <v>137</v>
      </c>
      <c r="E89" s="22" t="s">
        <v>820</v>
      </c>
      <c r="F89" s="18"/>
      <c r="G89" s="23" t="s">
        <v>821</v>
      </c>
      <c r="H89" s="23" t="s">
        <v>822</v>
      </c>
      <c r="I89" s="21" t="s">
        <v>823</v>
      </c>
      <c r="J89" s="18" t="s">
        <v>537</v>
      </c>
      <c r="K89" s="18" t="s">
        <v>43</v>
      </c>
      <c r="L89" s="24" t="n">
        <v>50000</v>
      </c>
      <c r="M89" s="19" t="n">
        <f aca="false">IF(G89="To be found",COUNTIF($E$2:$E$9999,E89),COUNTIF($G$2:$G$9999,G89))</f>
        <v>1</v>
      </c>
      <c r="N89" s="25"/>
      <c r="O89" s="25" t="s">
        <v>8</v>
      </c>
      <c r="P89" s="26" t="n">
        <v>0</v>
      </c>
      <c r="Q89" s="27"/>
      <c r="R89" s="25"/>
      <c r="S89" s="27"/>
      <c r="T89" s="28"/>
      <c r="U89" s="18" t="s">
        <v>824</v>
      </c>
      <c r="V89" s="29" t="n">
        <v>46059</v>
      </c>
      <c r="W89" s="18" t="s">
        <v>825</v>
      </c>
      <c r="X89" s="23" t="s">
        <v>826</v>
      </c>
      <c r="Y89" s="18" t="s">
        <v>827</v>
      </c>
      <c r="Z89" s="18" t="s">
        <v>149</v>
      </c>
      <c r="AA89" s="18" t="s">
        <v>828</v>
      </c>
      <c r="AB89" s="18" t="s">
        <v>151</v>
      </c>
      <c r="AC89" s="18"/>
    </row>
    <row r="90" customFormat="false" ht="30" hidden="false" customHeight="true" outlineLevel="0" collapsed="false">
      <c r="A90" s="18" t="s">
        <v>819</v>
      </c>
      <c r="B90" s="19" t="n">
        <v>1</v>
      </c>
      <c r="C90" s="20" t="str">
        <f aca="false">IF(L90="","C",IF(L90&gt;=Lists!$I$2,"A",IF(L90&gt;=Lists!$I$3,"B","C")))</f>
        <v>C</v>
      </c>
      <c r="D90" s="21" t="s">
        <v>97</v>
      </c>
      <c r="E90" s="22" t="s">
        <v>829</v>
      </c>
      <c r="F90" s="18" t="s">
        <v>830</v>
      </c>
      <c r="G90" s="23" t="s">
        <v>831</v>
      </c>
      <c r="H90" s="23" t="s">
        <v>832</v>
      </c>
      <c r="I90" s="21" t="s">
        <v>823</v>
      </c>
      <c r="J90" s="18" t="s">
        <v>537</v>
      </c>
      <c r="K90" s="18" t="s">
        <v>43</v>
      </c>
      <c r="L90" s="24" t="n">
        <v>50000</v>
      </c>
      <c r="M90" s="19" t="n">
        <f aca="false">IF(G90="To be found",COUNTIF($E$2:$E$9999,E90),COUNTIF($G$2:$G$9999,G90))</f>
        <v>5</v>
      </c>
      <c r="N90" s="25"/>
      <c r="O90" s="25" t="s">
        <v>8</v>
      </c>
      <c r="P90" s="26" t="n">
        <v>0</v>
      </c>
      <c r="Q90" s="27"/>
      <c r="R90" s="25"/>
      <c r="S90" s="27"/>
      <c r="T90" s="28"/>
      <c r="U90" s="18" t="s">
        <v>824</v>
      </c>
      <c r="V90" s="29" t="n">
        <v>46059</v>
      </c>
      <c r="W90" s="18" t="s">
        <v>833</v>
      </c>
      <c r="X90" s="23" t="s">
        <v>834</v>
      </c>
      <c r="Y90" s="18" t="s">
        <v>827</v>
      </c>
      <c r="Z90" s="18" t="s">
        <v>149</v>
      </c>
      <c r="AA90" s="18" t="s">
        <v>828</v>
      </c>
      <c r="AB90" s="18" t="s">
        <v>151</v>
      </c>
      <c r="AC90" s="18"/>
    </row>
    <row r="91" customFormat="false" ht="30" hidden="false" customHeight="true" outlineLevel="0" collapsed="false">
      <c r="A91" s="18" t="s">
        <v>835</v>
      </c>
      <c r="B91" s="19" t="n">
        <v>1</v>
      </c>
      <c r="C91" s="20" t="str">
        <f aca="false">IF(L91="","C",IF(L91&gt;=Lists!$I$2,"A",IF(L91&gt;=Lists!$I$3,"B","C")))</f>
        <v>B</v>
      </c>
      <c r="D91" s="21" t="s">
        <v>137</v>
      </c>
      <c r="E91" s="22" t="s">
        <v>836</v>
      </c>
      <c r="F91" s="18"/>
      <c r="G91" s="23" t="s">
        <v>837</v>
      </c>
      <c r="H91" s="23" t="s">
        <v>838</v>
      </c>
      <c r="I91" s="21" t="s">
        <v>839</v>
      </c>
      <c r="J91" s="18" t="s">
        <v>840</v>
      </c>
      <c r="K91" s="18" t="s">
        <v>43</v>
      </c>
      <c r="L91" s="24" t="n">
        <v>150000</v>
      </c>
      <c r="M91" s="19" t="n">
        <f aca="false">IF(G91="To be found",COUNTIF($E$2:$E$9999,E91),COUNTIF($G$2:$G$9999,G91))</f>
        <v>1</v>
      </c>
      <c r="N91" s="25"/>
      <c r="O91" s="25" t="s">
        <v>8</v>
      </c>
      <c r="P91" s="26" t="n">
        <v>0</v>
      </c>
      <c r="Q91" s="27"/>
      <c r="R91" s="25"/>
      <c r="S91" s="27"/>
      <c r="T91" s="28"/>
      <c r="U91" s="18" t="s">
        <v>841</v>
      </c>
      <c r="V91" s="29" t="n">
        <v>46045</v>
      </c>
      <c r="W91" s="18" t="s">
        <v>842</v>
      </c>
      <c r="X91" s="23" t="s">
        <v>843</v>
      </c>
      <c r="Y91" s="18" t="s">
        <v>844</v>
      </c>
      <c r="Z91" s="18" t="s">
        <v>149</v>
      </c>
      <c r="AA91" s="18" t="s">
        <v>845</v>
      </c>
      <c r="AB91" s="18" t="s">
        <v>151</v>
      </c>
      <c r="AC91" s="18"/>
    </row>
    <row r="92" customFormat="false" ht="30" hidden="false" customHeight="true" outlineLevel="0" collapsed="false">
      <c r="A92" s="18" t="s">
        <v>835</v>
      </c>
      <c r="B92" s="19" t="n">
        <v>1</v>
      </c>
      <c r="C92" s="20" t="str">
        <f aca="false">IF(L92="","C",IF(L92&gt;=Lists!$I$2,"A",IF(L92&gt;=Lists!$I$3,"B","C")))</f>
        <v>B</v>
      </c>
      <c r="D92" s="21" t="s">
        <v>97</v>
      </c>
      <c r="E92" s="22" t="s">
        <v>152</v>
      </c>
      <c r="F92" s="18"/>
      <c r="G92" s="30" t="s">
        <v>153</v>
      </c>
      <c r="H92" s="18"/>
      <c r="I92" s="21" t="s">
        <v>839</v>
      </c>
      <c r="J92" s="18" t="s">
        <v>840</v>
      </c>
      <c r="K92" s="18" t="s">
        <v>43</v>
      </c>
      <c r="L92" s="24" t="n">
        <v>150000</v>
      </c>
      <c r="M92" s="19" t="n">
        <f aca="false">IF(G92="To be found",COUNTIF($E$2:$E$9999,E92),COUNTIF($G$2:$G$9999,G92))</f>
        <v>3</v>
      </c>
      <c r="N92" s="25"/>
      <c r="O92" s="25" t="s">
        <v>8</v>
      </c>
      <c r="P92" s="26" t="n">
        <v>0</v>
      </c>
      <c r="Q92" s="27"/>
      <c r="R92" s="25"/>
      <c r="S92" s="27"/>
      <c r="T92" s="28"/>
      <c r="U92" s="18" t="s">
        <v>841</v>
      </c>
      <c r="V92" s="29" t="n">
        <v>46045</v>
      </c>
      <c r="W92" s="18" t="s">
        <v>156</v>
      </c>
      <c r="X92" s="18"/>
      <c r="Y92" s="18" t="s">
        <v>844</v>
      </c>
      <c r="Z92" s="18" t="s">
        <v>149</v>
      </c>
      <c r="AA92" s="18" t="s">
        <v>845</v>
      </c>
      <c r="AB92" s="18" t="s">
        <v>151</v>
      </c>
      <c r="AC92" s="18"/>
    </row>
    <row r="93" customFormat="false" ht="30" hidden="false" customHeight="true" outlineLevel="0" collapsed="false">
      <c r="A93" s="18" t="s">
        <v>846</v>
      </c>
      <c r="B93" s="19" t="n">
        <v>1</v>
      </c>
      <c r="C93" s="20" t="str">
        <f aca="false">IF(L93="","C",IF(L93&gt;=Lists!$I$2,"A",IF(L93&gt;=Lists!$I$3,"B","C")))</f>
        <v>C</v>
      </c>
      <c r="D93" s="21" t="s">
        <v>137</v>
      </c>
      <c r="E93" s="22" t="s">
        <v>847</v>
      </c>
      <c r="F93" s="18" t="s">
        <v>848</v>
      </c>
      <c r="G93" s="23" t="s">
        <v>849</v>
      </c>
      <c r="H93" s="23" t="s">
        <v>850</v>
      </c>
      <c r="I93" s="21" t="s">
        <v>851</v>
      </c>
      <c r="J93" s="18" t="s">
        <v>852</v>
      </c>
      <c r="K93" s="18" t="s">
        <v>43</v>
      </c>
      <c r="L93" s="24" t="n">
        <v>80000</v>
      </c>
      <c r="M93" s="19" t="n">
        <f aca="false">IF(G93="To be found",COUNTIF($E$2:$E$9999,E93),COUNTIF($G$2:$G$9999,G93))</f>
        <v>1</v>
      </c>
      <c r="N93" s="25"/>
      <c r="O93" s="25" t="s">
        <v>8</v>
      </c>
      <c r="P93" s="26" t="n">
        <v>0</v>
      </c>
      <c r="Q93" s="27"/>
      <c r="R93" s="25"/>
      <c r="S93" s="27"/>
      <c r="T93" s="28"/>
      <c r="U93" s="18" t="s">
        <v>853</v>
      </c>
      <c r="V93" s="29" t="n">
        <v>46041</v>
      </c>
      <c r="W93" s="18" t="s">
        <v>854</v>
      </c>
      <c r="X93" s="23" t="s">
        <v>855</v>
      </c>
      <c r="Y93" s="18" t="s">
        <v>854</v>
      </c>
      <c r="Z93" s="18" t="s">
        <v>149</v>
      </c>
      <c r="AA93" s="18" t="s">
        <v>856</v>
      </c>
      <c r="AB93" s="18" t="s">
        <v>151</v>
      </c>
      <c r="AC93" s="18"/>
    </row>
    <row r="94" customFormat="false" ht="30" hidden="false" customHeight="true" outlineLevel="0" collapsed="false">
      <c r="A94" s="18" t="s">
        <v>846</v>
      </c>
      <c r="B94" s="19" t="n">
        <v>1</v>
      </c>
      <c r="C94" s="20" t="str">
        <f aca="false">IF(L94="","C",IF(L94&gt;=Lists!$I$2,"A",IF(L94&gt;=Lists!$I$3,"B","C")))</f>
        <v>C</v>
      </c>
      <c r="D94" s="21" t="s">
        <v>97</v>
      </c>
      <c r="E94" s="22" t="s">
        <v>857</v>
      </c>
      <c r="F94" s="18" t="s">
        <v>858</v>
      </c>
      <c r="G94" s="23" t="s">
        <v>859</v>
      </c>
      <c r="H94" s="23" t="s">
        <v>860</v>
      </c>
      <c r="I94" s="21" t="s">
        <v>851</v>
      </c>
      <c r="J94" s="18" t="s">
        <v>852</v>
      </c>
      <c r="K94" s="18" t="s">
        <v>43</v>
      </c>
      <c r="L94" s="24" t="n">
        <v>80000</v>
      </c>
      <c r="M94" s="19" t="n">
        <f aca="false">IF(G94="To be found",COUNTIF($E$2:$E$9999,E94),COUNTIF($G$2:$G$9999,G94))</f>
        <v>1</v>
      </c>
      <c r="N94" s="25"/>
      <c r="O94" s="25" t="s">
        <v>8</v>
      </c>
      <c r="P94" s="26" t="n">
        <v>0</v>
      </c>
      <c r="Q94" s="27"/>
      <c r="R94" s="25"/>
      <c r="S94" s="27"/>
      <c r="T94" s="28"/>
      <c r="U94" s="18" t="s">
        <v>853</v>
      </c>
      <c r="V94" s="29" t="n">
        <v>46041</v>
      </c>
      <c r="W94" s="18" t="s">
        <v>861</v>
      </c>
      <c r="X94" s="23" t="s">
        <v>862</v>
      </c>
      <c r="Y94" s="18" t="s">
        <v>854</v>
      </c>
      <c r="Z94" s="18" t="s">
        <v>149</v>
      </c>
      <c r="AA94" s="18" t="s">
        <v>856</v>
      </c>
      <c r="AB94" s="18" t="s">
        <v>151</v>
      </c>
      <c r="AC94" s="18"/>
    </row>
    <row r="95" customFormat="false" ht="30" hidden="false" customHeight="true" outlineLevel="0" collapsed="false">
      <c r="A95" s="18" t="s">
        <v>863</v>
      </c>
      <c r="B95" s="19" t="n">
        <v>1</v>
      </c>
      <c r="C95" s="20" t="str">
        <f aca="false">IF(L95="","C",IF(L95&gt;=Lists!$I$2,"A",IF(L95&gt;=Lists!$I$3,"B","C")))</f>
        <v>C</v>
      </c>
      <c r="D95" s="21" t="s">
        <v>137</v>
      </c>
      <c r="E95" s="22" t="s">
        <v>398</v>
      </c>
      <c r="F95" s="18" t="s">
        <v>864</v>
      </c>
      <c r="G95" s="23" t="s">
        <v>377</v>
      </c>
      <c r="H95" s="23" t="s">
        <v>378</v>
      </c>
      <c r="I95" s="21" t="s">
        <v>865</v>
      </c>
      <c r="J95" s="18" t="s">
        <v>569</v>
      </c>
      <c r="K95" s="18" t="s">
        <v>43</v>
      </c>
      <c r="L95" s="24" t="n">
        <v>90000</v>
      </c>
      <c r="M95" s="19" t="n">
        <f aca="false">IF(G95="To be found",COUNTIF($E$2:$E$9999,E95),COUNTIF($G$2:$G$9999,G95))</f>
        <v>5</v>
      </c>
      <c r="N95" s="25"/>
      <c r="O95" s="25" t="s">
        <v>8</v>
      </c>
      <c r="P95" s="26" t="n">
        <v>0</v>
      </c>
      <c r="Q95" s="27"/>
      <c r="R95" s="25"/>
      <c r="S95" s="27"/>
      <c r="T95" s="28"/>
      <c r="U95" s="18" t="s">
        <v>866</v>
      </c>
      <c r="V95" s="29" t="n">
        <v>46056</v>
      </c>
      <c r="W95" s="18" t="s">
        <v>402</v>
      </c>
      <c r="X95" s="23" t="s">
        <v>372</v>
      </c>
      <c r="Y95" s="18" t="s">
        <v>867</v>
      </c>
      <c r="Z95" s="18" t="s">
        <v>149</v>
      </c>
      <c r="AA95" s="18" t="s">
        <v>868</v>
      </c>
      <c r="AB95" s="18" t="s">
        <v>151</v>
      </c>
      <c r="AC95" s="18"/>
    </row>
    <row r="96" customFormat="false" ht="30" hidden="false" customHeight="true" outlineLevel="0" collapsed="false">
      <c r="A96" s="18" t="s">
        <v>863</v>
      </c>
      <c r="B96" s="19" t="n">
        <v>1</v>
      </c>
      <c r="C96" s="20" t="str">
        <f aca="false">IF(L96="","C",IF(L96&gt;=Lists!$I$2,"A",IF(L96&gt;=Lists!$I$3,"B","C")))</f>
        <v>C</v>
      </c>
      <c r="D96" s="21" t="s">
        <v>97</v>
      </c>
      <c r="E96" s="22" t="s">
        <v>869</v>
      </c>
      <c r="F96" s="18" t="s">
        <v>870</v>
      </c>
      <c r="G96" s="23" t="s">
        <v>871</v>
      </c>
      <c r="H96" s="23" t="s">
        <v>872</v>
      </c>
      <c r="I96" s="21" t="s">
        <v>865</v>
      </c>
      <c r="J96" s="18" t="s">
        <v>569</v>
      </c>
      <c r="K96" s="18" t="s">
        <v>43</v>
      </c>
      <c r="L96" s="24" t="n">
        <v>90000</v>
      </c>
      <c r="M96" s="19" t="n">
        <f aca="false">IF(G96="To be found",COUNTIF($E$2:$E$9999,E96),COUNTIF($G$2:$G$9999,G96))</f>
        <v>3</v>
      </c>
      <c r="N96" s="25"/>
      <c r="O96" s="25" t="s">
        <v>8</v>
      </c>
      <c r="P96" s="26" t="n">
        <v>0</v>
      </c>
      <c r="Q96" s="27"/>
      <c r="R96" s="25"/>
      <c r="S96" s="27"/>
      <c r="T96" s="28"/>
      <c r="U96" s="18" t="s">
        <v>866</v>
      </c>
      <c r="V96" s="29" t="n">
        <v>46056</v>
      </c>
      <c r="W96" s="18" t="s">
        <v>873</v>
      </c>
      <c r="X96" s="23" t="s">
        <v>874</v>
      </c>
      <c r="Y96" s="18" t="s">
        <v>867</v>
      </c>
      <c r="Z96" s="18" t="s">
        <v>149</v>
      </c>
      <c r="AA96" s="18" t="s">
        <v>868</v>
      </c>
      <c r="AB96" s="18" t="s">
        <v>151</v>
      </c>
      <c r="AC96" s="18"/>
    </row>
    <row r="97" customFormat="false" ht="30" hidden="false" customHeight="true" outlineLevel="0" collapsed="false">
      <c r="A97" s="18" t="s">
        <v>875</v>
      </c>
      <c r="B97" s="19" t="n">
        <v>1</v>
      </c>
      <c r="C97" s="20" t="str">
        <f aca="false">IF(L97="","C",IF(L97&gt;=Lists!$I$2,"A",IF(L97&gt;=Lists!$I$3,"B","C")))</f>
        <v>B</v>
      </c>
      <c r="D97" s="21" t="s">
        <v>137</v>
      </c>
      <c r="E97" s="22" t="s">
        <v>876</v>
      </c>
      <c r="F97" s="18" t="s">
        <v>877</v>
      </c>
      <c r="G97" s="30" t="s">
        <v>153</v>
      </c>
      <c r="H97" s="18"/>
      <c r="I97" s="21" t="s">
        <v>878</v>
      </c>
      <c r="J97" s="18" t="s">
        <v>569</v>
      </c>
      <c r="K97" s="18" t="s">
        <v>43</v>
      </c>
      <c r="L97" s="24" t="n">
        <v>170000</v>
      </c>
      <c r="M97" s="19" t="n">
        <f aca="false">IF(G97="To be found",COUNTIF($E$2:$E$9999,E97),COUNTIF($G$2:$G$9999,G97))</f>
        <v>2</v>
      </c>
      <c r="N97" s="25"/>
      <c r="O97" s="25" t="s">
        <v>8</v>
      </c>
      <c r="P97" s="26" t="n">
        <v>0</v>
      </c>
      <c r="Q97" s="27"/>
      <c r="R97" s="25"/>
      <c r="S97" s="27"/>
      <c r="T97" s="28"/>
      <c r="U97" s="18" t="s">
        <v>879</v>
      </c>
      <c r="V97" s="29" t="n">
        <v>46038</v>
      </c>
      <c r="W97" s="18" t="s">
        <v>880</v>
      </c>
      <c r="X97" s="18"/>
      <c r="Y97" s="18" t="s">
        <v>881</v>
      </c>
      <c r="Z97" s="18" t="s">
        <v>149</v>
      </c>
      <c r="AA97" s="18" t="s">
        <v>882</v>
      </c>
      <c r="AB97" s="18" t="s">
        <v>151</v>
      </c>
      <c r="AC97" s="18"/>
    </row>
    <row r="98" customFormat="false" ht="30" hidden="false" customHeight="true" outlineLevel="0" collapsed="false">
      <c r="A98" s="18" t="s">
        <v>875</v>
      </c>
      <c r="B98" s="19" t="n">
        <v>1</v>
      </c>
      <c r="C98" s="20" t="str">
        <f aca="false">IF(L98="","C",IF(L98&gt;=Lists!$I$2,"A",IF(L98&gt;=Lists!$I$3,"B","C")))</f>
        <v>B</v>
      </c>
      <c r="D98" s="21" t="s">
        <v>97</v>
      </c>
      <c r="E98" s="22" t="s">
        <v>883</v>
      </c>
      <c r="F98" s="18" t="s">
        <v>884</v>
      </c>
      <c r="G98" s="23" t="s">
        <v>885</v>
      </c>
      <c r="H98" s="23" t="s">
        <v>886</v>
      </c>
      <c r="I98" s="21" t="s">
        <v>878</v>
      </c>
      <c r="J98" s="18" t="s">
        <v>569</v>
      </c>
      <c r="K98" s="18" t="s">
        <v>43</v>
      </c>
      <c r="L98" s="24" t="n">
        <v>170000</v>
      </c>
      <c r="M98" s="19" t="n">
        <f aca="false">IF(G98="To be found",COUNTIF($E$2:$E$9999,E98),COUNTIF($G$2:$G$9999,G98))</f>
        <v>1</v>
      </c>
      <c r="N98" s="25"/>
      <c r="O98" s="25" t="s">
        <v>8</v>
      </c>
      <c r="P98" s="26" t="n">
        <v>0</v>
      </c>
      <c r="Q98" s="27"/>
      <c r="R98" s="25"/>
      <c r="S98" s="27"/>
      <c r="T98" s="28"/>
      <c r="U98" s="18" t="s">
        <v>879</v>
      </c>
      <c r="V98" s="29" t="n">
        <v>46038</v>
      </c>
      <c r="W98" s="18" t="s">
        <v>887</v>
      </c>
      <c r="X98" s="23" t="s">
        <v>888</v>
      </c>
      <c r="Y98" s="18" t="s">
        <v>881</v>
      </c>
      <c r="Z98" s="18" t="s">
        <v>149</v>
      </c>
      <c r="AA98" s="18" t="s">
        <v>882</v>
      </c>
      <c r="AB98" s="18" t="s">
        <v>151</v>
      </c>
      <c r="AC98" s="18"/>
    </row>
    <row r="99" customFormat="false" ht="30" hidden="false" customHeight="true" outlineLevel="0" collapsed="false">
      <c r="A99" s="18" t="s">
        <v>889</v>
      </c>
      <c r="B99" s="19" t="n">
        <v>1</v>
      </c>
      <c r="C99" s="20" t="str">
        <f aca="false">IF(L99="","C",IF(L99&gt;=Lists!$I$2,"A",IF(L99&gt;=Lists!$I$3,"B","C")))</f>
        <v>A</v>
      </c>
      <c r="D99" s="21" t="s">
        <v>137</v>
      </c>
      <c r="E99" s="22" t="s">
        <v>890</v>
      </c>
      <c r="F99" s="18"/>
      <c r="G99" s="30" t="s">
        <v>153</v>
      </c>
      <c r="H99" s="18"/>
      <c r="I99" s="21" t="s">
        <v>891</v>
      </c>
      <c r="J99" s="18" t="s">
        <v>892</v>
      </c>
      <c r="K99" s="18" t="s">
        <v>42</v>
      </c>
      <c r="L99" s="24" t="n">
        <v>500000</v>
      </c>
      <c r="M99" s="19" t="n">
        <f aca="false">IF(G99="To be found",COUNTIF($E$2:$E$9999,E99),COUNTIF($G$2:$G$9999,G99))</f>
        <v>1</v>
      </c>
      <c r="N99" s="25"/>
      <c r="O99" s="25" t="s">
        <v>8</v>
      </c>
      <c r="P99" s="26" t="n">
        <v>0</v>
      </c>
      <c r="Q99" s="27"/>
      <c r="R99" s="25"/>
      <c r="S99" s="27"/>
      <c r="T99" s="28"/>
      <c r="U99" s="18" t="s">
        <v>893</v>
      </c>
      <c r="V99" s="29" t="n">
        <v>46066</v>
      </c>
      <c r="W99" s="18" t="s">
        <v>894</v>
      </c>
      <c r="X99" s="18"/>
      <c r="Y99" s="18" t="s">
        <v>895</v>
      </c>
      <c r="Z99" s="18" t="s">
        <v>149</v>
      </c>
      <c r="AA99" s="18" t="s">
        <v>896</v>
      </c>
      <c r="AB99" s="18" t="s">
        <v>151</v>
      </c>
      <c r="AC99" s="18"/>
    </row>
    <row r="100" customFormat="false" ht="30" hidden="false" customHeight="true" outlineLevel="0" collapsed="false">
      <c r="A100" s="18" t="s">
        <v>889</v>
      </c>
      <c r="B100" s="19" t="n">
        <v>1</v>
      </c>
      <c r="C100" s="20" t="str">
        <f aca="false">IF(L100="","C",IF(L100&gt;=Lists!$I$2,"A",IF(L100&gt;=Lists!$I$3,"B","C")))</f>
        <v>A</v>
      </c>
      <c r="D100" s="21" t="s">
        <v>897</v>
      </c>
      <c r="E100" s="22" t="s">
        <v>898</v>
      </c>
      <c r="F100" s="18"/>
      <c r="G100" s="23" t="s">
        <v>899</v>
      </c>
      <c r="H100" s="23" t="s">
        <v>900</v>
      </c>
      <c r="I100" s="21" t="s">
        <v>891</v>
      </c>
      <c r="J100" s="18" t="s">
        <v>892</v>
      </c>
      <c r="K100" s="18" t="s">
        <v>42</v>
      </c>
      <c r="L100" s="24" t="n">
        <v>500000</v>
      </c>
      <c r="M100" s="19" t="n">
        <f aca="false">IF(G100="To be found",COUNTIF($E$2:$E$9999,E100),COUNTIF($G$2:$G$9999,G100))</f>
        <v>1</v>
      </c>
      <c r="N100" s="25"/>
      <c r="O100" s="25" t="s">
        <v>8</v>
      </c>
      <c r="P100" s="26" t="n">
        <v>0</v>
      </c>
      <c r="Q100" s="27"/>
      <c r="R100" s="25"/>
      <c r="S100" s="27"/>
      <c r="T100" s="28"/>
      <c r="U100" s="18" t="s">
        <v>893</v>
      </c>
      <c r="V100" s="29" t="n">
        <v>46066</v>
      </c>
      <c r="W100" s="18" t="s">
        <v>901</v>
      </c>
      <c r="X100" s="23" t="s">
        <v>902</v>
      </c>
      <c r="Y100" s="18" t="s">
        <v>895</v>
      </c>
      <c r="Z100" s="18" t="s">
        <v>149</v>
      </c>
      <c r="AA100" s="18" t="s">
        <v>896</v>
      </c>
      <c r="AB100" s="18" t="s">
        <v>151</v>
      </c>
      <c r="AC100" s="18"/>
    </row>
    <row r="101" customFormat="false" ht="30" hidden="false" customHeight="true" outlineLevel="0" collapsed="false">
      <c r="A101" s="18" t="s">
        <v>903</v>
      </c>
      <c r="B101" s="19" t="n">
        <v>1</v>
      </c>
      <c r="C101" s="20" t="str">
        <f aca="false">IF(L101="","C",IF(L101&gt;=Lists!$I$2,"A",IF(L101&gt;=Lists!$I$3,"B","C")))</f>
        <v>C</v>
      </c>
      <c r="D101" s="21" t="s">
        <v>137</v>
      </c>
      <c r="E101" s="22" t="s">
        <v>904</v>
      </c>
      <c r="F101" s="18" t="s">
        <v>905</v>
      </c>
      <c r="G101" s="23" t="s">
        <v>906</v>
      </c>
      <c r="H101" s="23" t="s">
        <v>907</v>
      </c>
      <c r="I101" s="21" t="s">
        <v>839</v>
      </c>
      <c r="J101" s="18" t="s">
        <v>569</v>
      </c>
      <c r="K101" s="18" t="s">
        <v>43</v>
      </c>
      <c r="L101" s="24" t="n">
        <v>90000</v>
      </c>
      <c r="M101" s="19" t="n">
        <f aca="false">IF(G101="To be found",COUNTIF($E$2:$E$9999,E101),COUNTIF($G$2:$G$9999,G101))</f>
        <v>1</v>
      </c>
      <c r="N101" s="25"/>
      <c r="O101" s="25" t="s">
        <v>8</v>
      </c>
      <c r="P101" s="26" t="n">
        <v>0</v>
      </c>
      <c r="Q101" s="27"/>
      <c r="R101" s="25"/>
      <c r="S101" s="27"/>
      <c r="T101" s="28"/>
      <c r="U101" s="18" t="s">
        <v>908</v>
      </c>
      <c r="V101" s="29" t="n">
        <v>46062</v>
      </c>
      <c r="W101" s="18" t="s">
        <v>909</v>
      </c>
      <c r="X101" s="23" t="s">
        <v>910</v>
      </c>
      <c r="Y101" s="18" t="s">
        <v>911</v>
      </c>
      <c r="Z101" s="18" t="s">
        <v>149</v>
      </c>
      <c r="AA101" s="18" t="s">
        <v>912</v>
      </c>
      <c r="AB101" s="18" t="s">
        <v>151</v>
      </c>
      <c r="AC101" s="18"/>
    </row>
    <row r="102" customFormat="false" ht="30" hidden="false" customHeight="true" outlineLevel="0" collapsed="false">
      <c r="A102" s="18" t="s">
        <v>903</v>
      </c>
      <c r="B102" s="19" t="n">
        <v>1</v>
      </c>
      <c r="C102" s="20" t="str">
        <f aca="false">IF(L102="","C",IF(L102&gt;=Lists!$I$2,"A",IF(L102&gt;=Lists!$I$3,"B","C")))</f>
        <v>C</v>
      </c>
      <c r="D102" s="21" t="s">
        <v>97</v>
      </c>
      <c r="E102" s="22" t="s">
        <v>913</v>
      </c>
      <c r="F102" s="18" t="s">
        <v>914</v>
      </c>
      <c r="G102" s="30" t="s">
        <v>153</v>
      </c>
      <c r="H102" s="23" t="s">
        <v>915</v>
      </c>
      <c r="I102" s="21" t="s">
        <v>839</v>
      </c>
      <c r="J102" s="18" t="s">
        <v>569</v>
      </c>
      <c r="K102" s="18" t="s">
        <v>43</v>
      </c>
      <c r="L102" s="24" t="n">
        <v>90000</v>
      </c>
      <c r="M102" s="19" t="n">
        <f aca="false">IF(G102="To be found",COUNTIF($E$2:$E$9999,E102),COUNTIF($G$2:$G$9999,G102))</f>
        <v>1</v>
      </c>
      <c r="N102" s="25"/>
      <c r="O102" s="25" t="s">
        <v>8</v>
      </c>
      <c r="P102" s="26" t="n">
        <v>0</v>
      </c>
      <c r="Q102" s="27"/>
      <c r="R102" s="25"/>
      <c r="S102" s="27"/>
      <c r="T102" s="28"/>
      <c r="U102" s="18" t="s">
        <v>908</v>
      </c>
      <c r="V102" s="29" t="n">
        <v>46062</v>
      </c>
      <c r="W102" s="18" t="s">
        <v>916</v>
      </c>
      <c r="X102" s="23" t="s">
        <v>917</v>
      </c>
      <c r="Y102" s="18" t="s">
        <v>911</v>
      </c>
      <c r="Z102" s="18" t="s">
        <v>149</v>
      </c>
      <c r="AA102" s="18" t="s">
        <v>912</v>
      </c>
      <c r="AB102" s="18" t="s">
        <v>151</v>
      </c>
      <c r="AC102" s="18"/>
    </row>
    <row r="103" customFormat="false" ht="30" hidden="false" customHeight="true" outlineLevel="0" collapsed="false">
      <c r="A103" s="18" t="s">
        <v>918</v>
      </c>
      <c r="B103" s="19" t="n">
        <v>1</v>
      </c>
      <c r="C103" s="20" t="str">
        <f aca="false">IF(L103="","C",IF(L103&gt;=Lists!$I$2,"A",IF(L103&gt;=Lists!$I$3,"B","C")))</f>
        <v>A</v>
      </c>
      <c r="D103" s="21" t="s">
        <v>137</v>
      </c>
      <c r="E103" s="22" t="s">
        <v>919</v>
      </c>
      <c r="F103" s="18" t="s">
        <v>920</v>
      </c>
      <c r="G103" s="23" t="s">
        <v>921</v>
      </c>
      <c r="H103" s="23" t="s">
        <v>922</v>
      </c>
      <c r="I103" s="21" t="s">
        <v>923</v>
      </c>
      <c r="J103" s="18" t="s">
        <v>569</v>
      </c>
      <c r="K103" s="18" t="s">
        <v>43</v>
      </c>
      <c r="L103" s="24" t="n">
        <v>300000</v>
      </c>
      <c r="M103" s="19" t="n">
        <f aca="false">IF(G103="To be found",COUNTIF($E$2:$E$9999,E103),COUNTIF($G$2:$G$9999,G103))</f>
        <v>1</v>
      </c>
      <c r="N103" s="25"/>
      <c r="O103" s="25" t="s">
        <v>8</v>
      </c>
      <c r="P103" s="26" t="n">
        <v>0</v>
      </c>
      <c r="Q103" s="27"/>
      <c r="R103" s="25"/>
      <c r="S103" s="27"/>
      <c r="T103" s="28"/>
      <c r="U103" s="18" t="s">
        <v>924</v>
      </c>
      <c r="V103" s="29" t="n">
        <v>46062</v>
      </c>
      <c r="W103" s="18" t="s">
        <v>925</v>
      </c>
      <c r="X103" s="23" t="s">
        <v>926</v>
      </c>
      <c r="Y103" s="18" t="s">
        <v>927</v>
      </c>
      <c r="Z103" s="18" t="s">
        <v>149</v>
      </c>
      <c r="AA103" s="18" t="s">
        <v>928</v>
      </c>
      <c r="AB103" s="18" t="s">
        <v>151</v>
      </c>
      <c r="AC103" s="18"/>
    </row>
    <row r="104" customFormat="false" ht="30" hidden="false" customHeight="true" outlineLevel="0" collapsed="false">
      <c r="A104" s="18" t="s">
        <v>929</v>
      </c>
      <c r="B104" s="19" t="n">
        <v>1</v>
      </c>
      <c r="C104" s="20" t="str">
        <f aca="false">IF(L104="","C",IF(L104&gt;=Lists!$I$2,"A",IF(L104&gt;=Lists!$I$3,"B","C")))</f>
        <v>C</v>
      </c>
      <c r="D104" s="21" t="s">
        <v>137</v>
      </c>
      <c r="E104" s="22" t="s">
        <v>930</v>
      </c>
      <c r="F104" s="18" t="s">
        <v>931</v>
      </c>
      <c r="G104" s="23" t="s">
        <v>932</v>
      </c>
      <c r="H104" s="18"/>
      <c r="I104" s="21" t="s">
        <v>181</v>
      </c>
      <c r="J104" s="18" t="s">
        <v>460</v>
      </c>
      <c r="K104" s="18" t="s">
        <v>43</v>
      </c>
      <c r="L104" s="24" t="n">
        <v>90000</v>
      </c>
      <c r="M104" s="19" t="n">
        <f aca="false">IF(G104="To be found",COUNTIF($E$2:$E$9999,E104),COUNTIF($G$2:$G$9999,G104))</f>
        <v>1</v>
      </c>
      <c r="N104" s="25"/>
      <c r="O104" s="25" t="s">
        <v>8</v>
      </c>
      <c r="P104" s="26" t="n">
        <v>0</v>
      </c>
      <c r="Q104" s="27"/>
      <c r="R104" s="25"/>
      <c r="S104" s="27"/>
      <c r="T104" s="28"/>
      <c r="U104" s="18" t="s">
        <v>933</v>
      </c>
      <c r="V104" s="29" t="n">
        <v>46062</v>
      </c>
      <c r="W104" s="18" t="s">
        <v>934</v>
      </c>
      <c r="X104" s="23" t="s">
        <v>935</v>
      </c>
      <c r="Y104" s="18" t="s">
        <v>934</v>
      </c>
      <c r="Z104" s="18" t="s">
        <v>149</v>
      </c>
      <c r="AA104" s="18" t="s">
        <v>936</v>
      </c>
      <c r="AB104" s="18" t="s">
        <v>151</v>
      </c>
      <c r="AC104" s="18"/>
    </row>
    <row r="105" customFormat="false" ht="30" hidden="false" customHeight="true" outlineLevel="0" collapsed="false">
      <c r="A105" s="18" t="s">
        <v>929</v>
      </c>
      <c r="B105" s="19" t="n">
        <v>1</v>
      </c>
      <c r="C105" s="20" t="str">
        <f aca="false">IF(L105="","C",IF(L105&gt;=Lists!$I$2,"A",IF(L105&gt;=Lists!$I$3,"B","C")))</f>
        <v>C</v>
      </c>
      <c r="D105" s="21" t="s">
        <v>97</v>
      </c>
      <c r="E105" s="22" t="s">
        <v>937</v>
      </c>
      <c r="F105" s="18" t="s">
        <v>938</v>
      </c>
      <c r="G105" s="23" t="s">
        <v>939</v>
      </c>
      <c r="H105" s="23" t="s">
        <v>940</v>
      </c>
      <c r="I105" s="21" t="s">
        <v>181</v>
      </c>
      <c r="J105" s="18" t="s">
        <v>460</v>
      </c>
      <c r="K105" s="18" t="s">
        <v>43</v>
      </c>
      <c r="L105" s="24" t="n">
        <v>90000</v>
      </c>
      <c r="M105" s="19" t="n">
        <f aca="false">IF(G105="To be found",COUNTIF($E$2:$E$9999,E105),COUNTIF($G$2:$G$9999,G105))</f>
        <v>1</v>
      </c>
      <c r="N105" s="25"/>
      <c r="O105" s="25" t="s">
        <v>8</v>
      </c>
      <c r="P105" s="26" t="n">
        <v>0</v>
      </c>
      <c r="Q105" s="27"/>
      <c r="R105" s="25"/>
      <c r="S105" s="27"/>
      <c r="T105" s="28"/>
      <c r="U105" s="18" t="s">
        <v>933</v>
      </c>
      <c r="V105" s="29" t="n">
        <v>46062</v>
      </c>
      <c r="W105" s="18" t="s">
        <v>941</v>
      </c>
      <c r="X105" s="23" t="s">
        <v>942</v>
      </c>
      <c r="Y105" s="18" t="s">
        <v>934</v>
      </c>
      <c r="Z105" s="18" t="s">
        <v>149</v>
      </c>
      <c r="AA105" s="18" t="s">
        <v>936</v>
      </c>
      <c r="AB105" s="18" t="s">
        <v>151</v>
      </c>
      <c r="AC105" s="18"/>
    </row>
    <row r="106" customFormat="false" ht="30" hidden="false" customHeight="true" outlineLevel="0" collapsed="false">
      <c r="A106" s="18" t="s">
        <v>943</v>
      </c>
      <c r="B106" s="19" t="n">
        <v>1</v>
      </c>
      <c r="C106" s="20" t="str">
        <f aca="false">IF(L106="","C",IF(L106&gt;=Lists!$I$2,"A",IF(L106&gt;=Lists!$I$3,"B","C")))</f>
        <v>C</v>
      </c>
      <c r="D106" s="21" t="s">
        <v>137</v>
      </c>
      <c r="E106" s="22" t="s">
        <v>944</v>
      </c>
      <c r="F106" s="18"/>
      <c r="G106" s="23" t="s">
        <v>945</v>
      </c>
      <c r="H106" s="18"/>
      <c r="I106" s="21" t="s">
        <v>823</v>
      </c>
      <c r="J106" s="18" t="s">
        <v>143</v>
      </c>
      <c r="K106" s="18" t="s">
        <v>43</v>
      </c>
      <c r="L106" s="24" t="n">
        <v>50000</v>
      </c>
      <c r="M106" s="19" t="n">
        <f aca="false">IF(G106="To be found",COUNTIF($E$2:$E$9999,E106),COUNTIF($G$2:$G$9999,G106))</f>
        <v>1</v>
      </c>
      <c r="N106" s="25"/>
      <c r="O106" s="25" t="s">
        <v>8</v>
      </c>
      <c r="P106" s="26" t="n">
        <v>0</v>
      </c>
      <c r="Q106" s="27"/>
      <c r="R106" s="25"/>
      <c r="S106" s="27"/>
      <c r="T106" s="28"/>
      <c r="U106" s="18" t="s">
        <v>946</v>
      </c>
      <c r="V106" s="29" t="n">
        <v>46038</v>
      </c>
      <c r="W106" s="18" t="s">
        <v>947</v>
      </c>
      <c r="X106" s="23" t="s">
        <v>948</v>
      </c>
      <c r="Y106" s="18" t="s">
        <v>949</v>
      </c>
      <c r="Z106" s="18" t="s">
        <v>149</v>
      </c>
      <c r="AA106" s="18" t="s">
        <v>950</v>
      </c>
      <c r="AB106" s="18" t="s">
        <v>151</v>
      </c>
      <c r="AC106" s="18"/>
    </row>
    <row r="107" customFormat="false" ht="30" hidden="false" customHeight="true" outlineLevel="0" collapsed="false">
      <c r="A107" s="18" t="s">
        <v>943</v>
      </c>
      <c r="B107" s="19" t="n">
        <v>1</v>
      </c>
      <c r="C107" s="20" t="str">
        <f aca="false">IF(L107="","C",IF(L107&gt;=Lists!$I$2,"A",IF(L107&gt;=Lists!$I$3,"B","C")))</f>
        <v>C</v>
      </c>
      <c r="D107" s="21" t="s">
        <v>97</v>
      </c>
      <c r="E107" s="22" t="s">
        <v>951</v>
      </c>
      <c r="F107" s="18" t="s">
        <v>952</v>
      </c>
      <c r="G107" s="23" t="s">
        <v>953</v>
      </c>
      <c r="H107" s="23" t="s">
        <v>954</v>
      </c>
      <c r="I107" s="21" t="s">
        <v>823</v>
      </c>
      <c r="J107" s="18" t="s">
        <v>143</v>
      </c>
      <c r="K107" s="18" t="s">
        <v>43</v>
      </c>
      <c r="L107" s="24" t="n">
        <v>50000</v>
      </c>
      <c r="M107" s="19" t="n">
        <f aca="false">IF(G107="To be found",COUNTIF($E$2:$E$9999,E107),COUNTIF($G$2:$G$9999,G107))</f>
        <v>1</v>
      </c>
      <c r="N107" s="25"/>
      <c r="O107" s="25" t="s">
        <v>8</v>
      </c>
      <c r="P107" s="26" t="n">
        <v>0</v>
      </c>
      <c r="Q107" s="27"/>
      <c r="R107" s="25"/>
      <c r="S107" s="27"/>
      <c r="T107" s="28"/>
      <c r="U107" s="18" t="s">
        <v>946</v>
      </c>
      <c r="V107" s="29" t="n">
        <v>46038</v>
      </c>
      <c r="W107" s="18" t="s">
        <v>955</v>
      </c>
      <c r="X107" s="23" t="s">
        <v>956</v>
      </c>
      <c r="Y107" s="18" t="s">
        <v>949</v>
      </c>
      <c r="Z107" s="18" t="s">
        <v>149</v>
      </c>
      <c r="AA107" s="18" t="s">
        <v>950</v>
      </c>
      <c r="AB107" s="18" t="s">
        <v>151</v>
      </c>
      <c r="AC107" s="18"/>
    </row>
    <row r="108" customFormat="false" ht="30" hidden="false" customHeight="true" outlineLevel="0" collapsed="false">
      <c r="A108" s="18" t="s">
        <v>957</v>
      </c>
      <c r="B108" s="19" t="n">
        <v>1</v>
      </c>
      <c r="C108" s="20" t="str">
        <f aca="false">IF(L108="","C",IF(L108&gt;=Lists!$I$2,"A",IF(L108&gt;=Lists!$I$3,"B","C")))</f>
        <v>B</v>
      </c>
      <c r="D108" s="21" t="s">
        <v>97</v>
      </c>
      <c r="E108" s="22" t="s">
        <v>958</v>
      </c>
      <c r="F108" s="18"/>
      <c r="G108" s="23" t="s">
        <v>959</v>
      </c>
      <c r="H108" s="23" t="s">
        <v>960</v>
      </c>
      <c r="I108" s="21" t="s">
        <v>961</v>
      </c>
      <c r="J108" s="18" t="s">
        <v>962</v>
      </c>
      <c r="K108" s="18" t="s">
        <v>42</v>
      </c>
      <c r="L108" s="24" t="n">
        <v>100000</v>
      </c>
      <c r="M108" s="19" t="n">
        <f aca="false">IF(G108="To be found",COUNTIF($E$2:$E$9999,E108),COUNTIF($G$2:$G$9999,G108))</f>
        <v>1</v>
      </c>
      <c r="N108" s="25"/>
      <c r="O108" s="25" t="s">
        <v>8</v>
      </c>
      <c r="P108" s="26" t="n">
        <v>0</v>
      </c>
      <c r="Q108" s="27"/>
      <c r="R108" s="25"/>
      <c r="S108" s="27"/>
      <c r="T108" s="28"/>
      <c r="U108" s="18" t="s">
        <v>963</v>
      </c>
      <c r="V108" s="29" t="n">
        <v>46038</v>
      </c>
      <c r="W108" s="18" t="s">
        <v>964</v>
      </c>
      <c r="X108" s="18"/>
      <c r="Y108" s="18" t="s">
        <v>965</v>
      </c>
      <c r="Z108" s="18" t="s">
        <v>149</v>
      </c>
      <c r="AA108" s="18" t="s">
        <v>966</v>
      </c>
      <c r="AB108" s="18" t="s">
        <v>151</v>
      </c>
      <c r="AC108" s="18"/>
    </row>
    <row r="109" customFormat="false" ht="30" hidden="false" customHeight="true" outlineLevel="0" collapsed="false">
      <c r="A109" s="18" t="s">
        <v>967</v>
      </c>
      <c r="B109" s="19" t="n">
        <v>1</v>
      </c>
      <c r="C109" s="20" t="str">
        <f aca="false">IF(L109="","C",IF(L109&gt;=Lists!$I$2,"A",IF(L109&gt;=Lists!$I$3,"B","C")))</f>
        <v>A</v>
      </c>
      <c r="D109" s="21" t="s">
        <v>137</v>
      </c>
      <c r="E109" s="22" t="s">
        <v>968</v>
      </c>
      <c r="F109" s="18"/>
      <c r="G109" s="23" t="s">
        <v>969</v>
      </c>
      <c r="H109" s="23" t="s">
        <v>970</v>
      </c>
      <c r="I109" s="21" t="s">
        <v>971</v>
      </c>
      <c r="J109" s="18" t="s">
        <v>972</v>
      </c>
      <c r="K109" s="18" t="s">
        <v>42</v>
      </c>
      <c r="L109" s="24" t="n">
        <v>500000</v>
      </c>
      <c r="M109" s="19" t="n">
        <f aca="false">IF(G109="To be found",COUNTIF($E$2:$E$9999,E109),COUNTIF($G$2:$G$9999,G109))</f>
        <v>1</v>
      </c>
      <c r="N109" s="25"/>
      <c r="O109" s="25" t="s">
        <v>8</v>
      </c>
      <c r="P109" s="26" t="n">
        <v>0</v>
      </c>
      <c r="Q109" s="27"/>
      <c r="R109" s="25"/>
      <c r="S109" s="27"/>
      <c r="T109" s="28"/>
      <c r="U109" s="18" t="s">
        <v>973</v>
      </c>
      <c r="V109" s="29" t="n">
        <v>45408</v>
      </c>
      <c r="W109" s="18" t="s">
        <v>974</v>
      </c>
      <c r="X109" s="23" t="s">
        <v>975</v>
      </c>
      <c r="Y109" s="18" t="s">
        <v>976</v>
      </c>
      <c r="Z109" s="18" t="s">
        <v>229</v>
      </c>
      <c r="AA109" s="18" t="s">
        <v>977</v>
      </c>
      <c r="AB109" s="18" t="s">
        <v>151</v>
      </c>
      <c r="AC109" s="18"/>
    </row>
    <row r="110" customFormat="false" ht="30" hidden="false" customHeight="true" outlineLevel="0" collapsed="false">
      <c r="A110" s="18" t="s">
        <v>967</v>
      </c>
      <c r="B110" s="19" t="n">
        <v>1</v>
      </c>
      <c r="C110" s="20" t="str">
        <f aca="false">IF(L110="","C",IF(L110&gt;=Lists!$I$2,"A",IF(L110&gt;=Lists!$I$3,"B","C")))</f>
        <v>A</v>
      </c>
      <c r="D110" s="21" t="s">
        <v>97</v>
      </c>
      <c r="E110" s="22" t="s">
        <v>978</v>
      </c>
      <c r="F110" s="18" t="s">
        <v>979</v>
      </c>
      <c r="G110" s="23" t="s">
        <v>980</v>
      </c>
      <c r="H110" s="23" t="s">
        <v>981</v>
      </c>
      <c r="I110" s="21" t="s">
        <v>971</v>
      </c>
      <c r="J110" s="18" t="s">
        <v>972</v>
      </c>
      <c r="K110" s="18" t="s">
        <v>42</v>
      </c>
      <c r="L110" s="24" t="n">
        <v>500000</v>
      </c>
      <c r="M110" s="19" t="n">
        <f aca="false">IF(G110="To be found",COUNTIF($E$2:$E$9999,E110),COUNTIF($G$2:$G$9999,G110))</f>
        <v>1</v>
      </c>
      <c r="N110" s="25"/>
      <c r="O110" s="25" t="s">
        <v>8</v>
      </c>
      <c r="P110" s="26" t="n">
        <v>0</v>
      </c>
      <c r="Q110" s="27"/>
      <c r="R110" s="25"/>
      <c r="S110" s="27"/>
      <c r="T110" s="28"/>
      <c r="U110" s="18" t="s">
        <v>973</v>
      </c>
      <c r="V110" s="29" t="n">
        <v>45408</v>
      </c>
      <c r="W110" s="18" t="s">
        <v>982</v>
      </c>
      <c r="X110" s="23" t="s">
        <v>983</v>
      </c>
      <c r="Y110" s="18" t="s">
        <v>976</v>
      </c>
      <c r="Z110" s="18" t="s">
        <v>229</v>
      </c>
      <c r="AA110" s="18" t="s">
        <v>977</v>
      </c>
      <c r="AB110" s="18" t="s">
        <v>151</v>
      </c>
      <c r="AC110" s="18"/>
    </row>
    <row r="111" customFormat="false" ht="30" hidden="false" customHeight="true" outlineLevel="0" collapsed="false">
      <c r="A111" s="18" t="s">
        <v>984</v>
      </c>
      <c r="B111" s="19" t="n">
        <v>1</v>
      </c>
      <c r="C111" s="20" t="str">
        <f aca="false">IF(L111="","C",IF(L111&gt;=Lists!$I$2,"A",IF(L111&gt;=Lists!$I$3,"B","C")))</f>
        <v>B</v>
      </c>
      <c r="D111" s="21" t="s">
        <v>137</v>
      </c>
      <c r="E111" s="22" t="s">
        <v>985</v>
      </c>
      <c r="F111" s="18" t="s">
        <v>986</v>
      </c>
      <c r="G111" s="23" t="s">
        <v>987</v>
      </c>
      <c r="H111" s="23" t="s">
        <v>988</v>
      </c>
      <c r="I111" s="21" t="s">
        <v>989</v>
      </c>
      <c r="J111" s="18" t="s">
        <v>990</v>
      </c>
      <c r="K111" s="18" t="s">
        <v>43</v>
      </c>
      <c r="L111" s="24" t="n">
        <v>100000</v>
      </c>
      <c r="M111" s="19" t="n">
        <f aca="false">IF(G111="To be found",COUNTIF($E$2:$E$9999,E111),COUNTIF($G$2:$G$9999,G111))</f>
        <v>1</v>
      </c>
      <c r="N111" s="25"/>
      <c r="O111" s="25" t="s">
        <v>8</v>
      </c>
      <c r="P111" s="26" t="n">
        <v>0</v>
      </c>
      <c r="Q111" s="27"/>
      <c r="R111" s="25"/>
      <c r="S111" s="27"/>
      <c r="T111" s="28"/>
      <c r="U111" s="18" t="s">
        <v>991</v>
      </c>
      <c r="V111" s="29" t="n">
        <v>46029</v>
      </c>
      <c r="W111" s="18" t="s">
        <v>992</v>
      </c>
      <c r="X111" s="23" t="s">
        <v>993</v>
      </c>
      <c r="Y111" s="18" t="s">
        <v>994</v>
      </c>
      <c r="Z111" s="18" t="s">
        <v>149</v>
      </c>
      <c r="AA111" s="18" t="s">
        <v>995</v>
      </c>
      <c r="AB111" s="18" t="s">
        <v>151</v>
      </c>
      <c r="AC111" s="18"/>
    </row>
    <row r="112" customFormat="false" ht="30" hidden="false" customHeight="true" outlineLevel="0" collapsed="false">
      <c r="A112" s="18" t="s">
        <v>984</v>
      </c>
      <c r="B112" s="19" t="n">
        <v>1</v>
      </c>
      <c r="C112" s="20" t="str">
        <f aca="false">IF(L112="","C",IF(L112&gt;=Lists!$I$2,"A",IF(L112&gt;=Lists!$I$3,"B","C")))</f>
        <v>B</v>
      </c>
      <c r="D112" s="21" t="s">
        <v>97</v>
      </c>
      <c r="E112" s="22" t="s">
        <v>996</v>
      </c>
      <c r="F112" s="18" t="s">
        <v>997</v>
      </c>
      <c r="G112" s="23" t="s">
        <v>998</v>
      </c>
      <c r="H112" s="23" t="s">
        <v>999</v>
      </c>
      <c r="I112" s="21" t="s">
        <v>989</v>
      </c>
      <c r="J112" s="18" t="s">
        <v>990</v>
      </c>
      <c r="K112" s="18" t="s">
        <v>43</v>
      </c>
      <c r="L112" s="24" t="n">
        <v>100000</v>
      </c>
      <c r="M112" s="19" t="n">
        <f aca="false">IF(G112="To be found",COUNTIF($E$2:$E$9999,E112),COUNTIF($G$2:$G$9999,G112))</f>
        <v>1</v>
      </c>
      <c r="N112" s="25"/>
      <c r="O112" s="25" t="s">
        <v>8</v>
      </c>
      <c r="P112" s="26" t="n">
        <v>0</v>
      </c>
      <c r="Q112" s="27"/>
      <c r="R112" s="25"/>
      <c r="S112" s="27"/>
      <c r="T112" s="28"/>
      <c r="U112" s="18" t="s">
        <v>991</v>
      </c>
      <c r="V112" s="29" t="n">
        <v>46029</v>
      </c>
      <c r="W112" s="18" t="s">
        <v>253</v>
      </c>
      <c r="X112" s="23" t="s">
        <v>1000</v>
      </c>
      <c r="Y112" s="18" t="s">
        <v>994</v>
      </c>
      <c r="Z112" s="18" t="s">
        <v>149</v>
      </c>
      <c r="AA112" s="18" t="s">
        <v>995</v>
      </c>
      <c r="AB112" s="18" t="s">
        <v>151</v>
      </c>
      <c r="AC112" s="18"/>
    </row>
    <row r="113" customFormat="false" ht="30" hidden="false" customHeight="true" outlineLevel="0" collapsed="false">
      <c r="A113" s="18" t="s">
        <v>1001</v>
      </c>
      <c r="B113" s="19" t="n">
        <v>1</v>
      </c>
      <c r="C113" s="20" t="str">
        <f aca="false">IF(L113="","C",IF(L113&gt;=Lists!$I$2,"A",IF(L113&gt;=Lists!$I$3,"B","C")))</f>
        <v>A</v>
      </c>
      <c r="D113" s="21" t="s">
        <v>137</v>
      </c>
      <c r="E113" s="22" t="s">
        <v>1002</v>
      </c>
      <c r="F113" s="18"/>
      <c r="G113" s="23" t="s">
        <v>1003</v>
      </c>
      <c r="H113" s="23" t="s">
        <v>1004</v>
      </c>
      <c r="I113" s="21" t="s">
        <v>1005</v>
      </c>
      <c r="J113" s="18" t="s">
        <v>1006</v>
      </c>
      <c r="K113" s="18" t="s">
        <v>42</v>
      </c>
      <c r="L113" s="24" t="n">
        <v>420000</v>
      </c>
      <c r="M113" s="19" t="n">
        <f aca="false">IF(G113="To be found",COUNTIF($E$2:$E$9999,E113),COUNTIF($G$2:$G$9999,G113))</f>
        <v>1</v>
      </c>
      <c r="N113" s="25"/>
      <c r="O113" s="25" t="s">
        <v>8</v>
      </c>
      <c r="P113" s="26" t="n">
        <v>0</v>
      </c>
      <c r="Q113" s="27"/>
      <c r="R113" s="25"/>
      <c r="S113" s="27"/>
      <c r="T113" s="28"/>
      <c r="U113" s="18" t="s">
        <v>1007</v>
      </c>
      <c r="V113" s="29" t="n">
        <v>45877</v>
      </c>
      <c r="W113" s="18" t="s">
        <v>1008</v>
      </c>
      <c r="X113" s="23" t="s">
        <v>1009</v>
      </c>
      <c r="Y113" s="18" t="s">
        <v>1010</v>
      </c>
      <c r="Z113" s="18" t="s">
        <v>254</v>
      </c>
      <c r="AA113" s="18" t="s">
        <v>1011</v>
      </c>
      <c r="AB113" s="18" t="s">
        <v>151</v>
      </c>
      <c r="AC113" s="18"/>
    </row>
    <row r="114" customFormat="false" ht="30" hidden="false" customHeight="true" outlineLevel="0" collapsed="false">
      <c r="A114" s="18" t="s">
        <v>1001</v>
      </c>
      <c r="B114" s="19" t="n">
        <v>1</v>
      </c>
      <c r="C114" s="20" t="str">
        <f aca="false">IF(L114="","C",IF(L114&gt;=Lists!$I$2,"A",IF(L114&gt;=Lists!$I$3,"B","C")))</f>
        <v>A</v>
      </c>
      <c r="D114" s="21" t="s">
        <v>97</v>
      </c>
      <c r="E114" s="22" t="s">
        <v>1012</v>
      </c>
      <c r="F114" s="18" t="s">
        <v>1013</v>
      </c>
      <c r="G114" s="23" t="s">
        <v>1014</v>
      </c>
      <c r="H114" s="23" t="s">
        <v>1015</v>
      </c>
      <c r="I114" s="21" t="s">
        <v>1005</v>
      </c>
      <c r="J114" s="18" t="s">
        <v>1006</v>
      </c>
      <c r="K114" s="18" t="s">
        <v>42</v>
      </c>
      <c r="L114" s="24" t="n">
        <v>420000</v>
      </c>
      <c r="M114" s="19" t="n">
        <f aca="false">IF(G114="To be found",COUNTIF($E$2:$E$9999,E114),COUNTIF($G$2:$G$9999,G114))</f>
        <v>1</v>
      </c>
      <c r="N114" s="25"/>
      <c r="O114" s="25" t="s">
        <v>8</v>
      </c>
      <c r="P114" s="26" t="n">
        <v>0</v>
      </c>
      <c r="Q114" s="27"/>
      <c r="R114" s="25"/>
      <c r="S114" s="27"/>
      <c r="T114" s="28"/>
      <c r="U114" s="18" t="s">
        <v>1007</v>
      </c>
      <c r="V114" s="29" t="n">
        <v>45877</v>
      </c>
      <c r="W114" s="18" t="s">
        <v>1016</v>
      </c>
      <c r="X114" s="23" t="s">
        <v>1017</v>
      </c>
      <c r="Y114" s="18" t="s">
        <v>1010</v>
      </c>
      <c r="Z114" s="18" t="s">
        <v>254</v>
      </c>
      <c r="AA114" s="18" t="s">
        <v>1011</v>
      </c>
      <c r="AB114" s="18" t="s">
        <v>151</v>
      </c>
      <c r="AC114" s="18"/>
    </row>
    <row r="115" customFormat="false" ht="30" hidden="false" customHeight="true" outlineLevel="0" collapsed="false">
      <c r="A115" s="18" t="s">
        <v>1018</v>
      </c>
      <c r="B115" s="19" t="n">
        <v>1</v>
      </c>
      <c r="C115" s="20" t="str">
        <f aca="false">IF(L115="","C",IF(L115&gt;=Lists!$I$2,"A",IF(L115&gt;=Lists!$I$3,"B","C")))</f>
        <v>C</v>
      </c>
      <c r="D115" s="21" t="s">
        <v>137</v>
      </c>
      <c r="E115" s="22" t="s">
        <v>1019</v>
      </c>
      <c r="F115" s="18" t="s">
        <v>1020</v>
      </c>
      <c r="G115" s="23" t="s">
        <v>1021</v>
      </c>
      <c r="H115" s="23" t="s">
        <v>1022</v>
      </c>
      <c r="I115" s="21" t="s">
        <v>1023</v>
      </c>
      <c r="J115" s="18" t="s">
        <v>1024</v>
      </c>
      <c r="K115" s="18" t="s">
        <v>43</v>
      </c>
      <c r="L115" s="24" t="n">
        <v>50000</v>
      </c>
      <c r="M115" s="19" t="n">
        <f aca="false">IF(G115="To be found",COUNTIF($E$2:$E$9999,E115),COUNTIF($G$2:$G$9999,G115))</f>
        <v>1</v>
      </c>
      <c r="N115" s="25"/>
      <c r="O115" s="25" t="s">
        <v>8</v>
      </c>
      <c r="P115" s="26" t="n">
        <v>0</v>
      </c>
      <c r="Q115" s="27"/>
      <c r="R115" s="25"/>
      <c r="S115" s="27"/>
      <c r="T115" s="28"/>
      <c r="U115" s="18" t="s">
        <v>1025</v>
      </c>
      <c r="V115" s="29" t="n">
        <v>46030</v>
      </c>
      <c r="W115" s="18" t="s">
        <v>1026</v>
      </c>
      <c r="X115" s="23" t="s">
        <v>1027</v>
      </c>
      <c r="Y115" s="18" t="s">
        <v>1028</v>
      </c>
      <c r="Z115" s="18" t="s">
        <v>149</v>
      </c>
      <c r="AA115" s="18" t="s">
        <v>1029</v>
      </c>
      <c r="AB115" s="18" t="s">
        <v>151</v>
      </c>
      <c r="AC115" s="18"/>
    </row>
    <row r="116" customFormat="false" ht="30" hidden="false" customHeight="true" outlineLevel="0" collapsed="false">
      <c r="A116" s="18" t="s">
        <v>1018</v>
      </c>
      <c r="B116" s="19" t="n">
        <v>1</v>
      </c>
      <c r="C116" s="20" t="str">
        <f aca="false">IF(L116="","C",IF(L116&gt;=Lists!$I$2,"A",IF(L116&gt;=Lists!$I$3,"B","C")))</f>
        <v>C</v>
      </c>
      <c r="D116" s="21" t="s">
        <v>97</v>
      </c>
      <c r="E116" s="22" t="s">
        <v>1030</v>
      </c>
      <c r="F116" s="18" t="s">
        <v>1031</v>
      </c>
      <c r="G116" s="23" t="s">
        <v>1032</v>
      </c>
      <c r="H116" s="23" t="s">
        <v>1033</v>
      </c>
      <c r="I116" s="21" t="s">
        <v>1023</v>
      </c>
      <c r="J116" s="18" t="s">
        <v>1024</v>
      </c>
      <c r="K116" s="18" t="s">
        <v>43</v>
      </c>
      <c r="L116" s="24" t="n">
        <v>50000</v>
      </c>
      <c r="M116" s="19" t="n">
        <f aca="false">IF(G116="To be found",COUNTIF($E$2:$E$9999,E116),COUNTIF($G$2:$G$9999,G116))</f>
        <v>1</v>
      </c>
      <c r="N116" s="25"/>
      <c r="O116" s="25" t="s">
        <v>8</v>
      </c>
      <c r="P116" s="26" t="n">
        <v>0</v>
      </c>
      <c r="Q116" s="27"/>
      <c r="R116" s="25"/>
      <c r="S116" s="27"/>
      <c r="T116" s="28"/>
      <c r="U116" s="18" t="s">
        <v>1025</v>
      </c>
      <c r="V116" s="29" t="n">
        <v>46030</v>
      </c>
      <c r="W116" s="18" t="s">
        <v>1034</v>
      </c>
      <c r="X116" s="23" t="s">
        <v>1035</v>
      </c>
      <c r="Y116" s="18" t="s">
        <v>1028</v>
      </c>
      <c r="Z116" s="18" t="s">
        <v>149</v>
      </c>
      <c r="AA116" s="18" t="s">
        <v>1029</v>
      </c>
      <c r="AB116" s="18" t="s">
        <v>151</v>
      </c>
      <c r="AC116" s="18"/>
    </row>
    <row r="117" customFormat="false" ht="30" hidden="false" customHeight="true" outlineLevel="0" collapsed="false">
      <c r="A117" s="18" t="s">
        <v>1036</v>
      </c>
      <c r="B117" s="19" t="n">
        <v>1</v>
      </c>
      <c r="C117" s="20" t="str">
        <f aca="false">IF(L117="","C",IF(L117&gt;=Lists!$I$2,"A",IF(L117&gt;=Lists!$I$3,"B","C")))</f>
        <v>C</v>
      </c>
      <c r="D117" s="21" t="s">
        <v>137</v>
      </c>
      <c r="E117" s="22" t="s">
        <v>1037</v>
      </c>
      <c r="F117" s="18" t="s">
        <v>1038</v>
      </c>
      <c r="G117" s="23" t="s">
        <v>1039</v>
      </c>
      <c r="H117" s="18"/>
      <c r="I117" s="21" t="s">
        <v>1040</v>
      </c>
      <c r="J117" s="18" t="s">
        <v>1041</v>
      </c>
      <c r="K117" s="18" t="s">
        <v>43</v>
      </c>
      <c r="L117" s="24" t="n">
        <v>90000</v>
      </c>
      <c r="M117" s="19" t="n">
        <f aca="false">IF(G117="To be found",COUNTIF($E$2:$E$9999,E117),COUNTIF($G$2:$G$9999,G117))</f>
        <v>1</v>
      </c>
      <c r="N117" s="25"/>
      <c r="O117" s="25" t="s">
        <v>8</v>
      </c>
      <c r="P117" s="26" t="n">
        <v>0</v>
      </c>
      <c r="Q117" s="27"/>
      <c r="R117" s="25"/>
      <c r="S117" s="27"/>
      <c r="T117" s="28"/>
      <c r="U117" s="18" t="s">
        <v>1042</v>
      </c>
      <c r="V117" s="29" t="n">
        <v>45996</v>
      </c>
      <c r="W117" s="18" t="s">
        <v>1043</v>
      </c>
      <c r="X117" s="23" t="s">
        <v>1044</v>
      </c>
      <c r="Y117" s="18" t="s">
        <v>1045</v>
      </c>
      <c r="Z117" s="18" t="s">
        <v>149</v>
      </c>
      <c r="AA117" s="18" t="s">
        <v>1046</v>
      </c>
      <c r="AB117" s="18" t="s">
        <v>151</v>
      </c>
      <c r="AC117" s="18"/>
    </row>
    <row r="118" customFormat="false" ht="30" hidden="false" customHeight="true" outlineLevel="0" collapsed="false">
      <c r="A118" s="18" t="s">
        <v>1036</v>
      </c>
      <c r="B118" s="19" t="n">
        <v>1</v>
      </c>
      <c r="C118" s="20" t="str">
        <f aca="false">IF(L118="","C",IF(L118&gt;=Lists!$I$2,"A",IF(L118&gt;=Lists!$I$3,"B","C")))</f>
        <v>C</v>
      </c>
      <c r="D118" s="21" t="s">
        <v>97</v>
      </c>
      <c r="E118" s="22" t="s">
        <v>1047</v>
      </c>
      <c r="F118" s="18" t="s">
        <v>1048</v>
      </c>
      <c r="G118" s="23" t="s">
        <v>1049</v>
      </c>
      <c r="H118" s="23" t="s">
        <v>1050</v>
      </c>
      <c r="I118" s="21" t="s">
        <v>1040</v>
      </c>
      <c r="J118" s="18" t="s">
        <v>1041</v>
      </c>
      <c r="K118" s="18" t="s">
        <v>43</v>
      </c>
      <c r="L118" s="24" t="n">
        <v>90000</v>
      </c>
      <c r="M118" s="19" t="n">
        <f aca="false">IF(G118="To be found",COUNTIF($E$2:$E$9999,E118),COUNTIF($G$2:$G$9999,G118))</f>
        <v>1</v>
      </c>
      <c r="N118" s="25"/>
      <c r="O118" s="25" t="s">
        <v>8</v>
      </c>
      <c r="P118" s="26" t="n">
        <v>0</v>
      </c>
      <c r="Q118" s="27"/>
      <c r="R118" s="25"/>
      <c r="S118" s="27"/>
      <c r="T118" s="28"/>
      <c r="U118" s="18" t="s">
        <v>1042</v>
      </c>
      <c r="V118" s="29" t="n">
        <v>45996</v>
      </c>
      <c r="W118" s="18" t="s">
        <v>1051</v>
      </c>
      <c r="X118" s="23" t="s">
        <v>1052</v>
      </c>
      <c r="Y118" s="18" t="s">
        <v>1045</v>
      </c>
      <c r="Z118" s="18" t="s">
        <v>149</v>
      </c>
      <c r="AA118" s="18" t="s">
        <v>1046</v>
      </c>
      <c r="AB118" s="18" t="s">
        <v>151</v>
      </c>
      <c r="AC118" s="18"/>
    </row>
    <row r="119" customFormat="false" ht="30" hidden="false" customHeight="true" outlineLevel="0" collapsed="false">
      <c r="A119" s="18" t="s">
        <v>1053</v>
      </c>
      <c r="B119" s="19" t="n">
        <v>1</v>
      </c>
      <c r="C119" s="20" t="str">
        <f aca="false">IF(L119="","C",IF(L119&gt;=Lists!$I$2,"A",IF(L119&gt;=Lists!$I$3,"B","C")))</f>
        <v>C</v>
      </c>
      <c r="D119" s="21" t="s">
        <v>137</v>
      </c>
      <c r="E119" s="22" t="s">
        <v>1054</v>
      </c>
      <c r="F119" s="18" t="s">
        <v>1055</v>
      </c>
      <c r="G119" s="23" t="s">
        <v>1056</v>
      </c>
      <c r="H119" s="23" t="s">
        <v>1057</v>
      </c>
      <c r="I119" s="21" t="s">
        <v>1058</v>
      </c>
      <c r="J119" s="18" t="s">
        <v>161</v>
      </c>
      <c r="K119" s="18" t="s">
        <v>43</v>
      </c>
      <c r="L119" s="24" t="n">
        <v>90000</v>
      </c>
      <c r="M119" s="19" t="n">
        <f aca="false">IF(G119="To be found",COUNTIF($E$2:$E$9999,E119),COUNTIF($G$2:$G$9999,G119))</f>
        <v>3</v>
      </c>
      <c r="N119" s="25"/>
      <c r="O119" s="25" t="s">
        <v>8</v>
      </c>
      <c r="P119" s="26" t="n">
        <v>0</v>
      </c>
      <c r="Q119" s="27"/>
      <c r="R119" s="25"/>
      <c r="S119" s="27"/>
      <c r="T119" s="28"/>
      <c r="U119" s="18" t="s">
        <v>1059</v>
      </c>
      <c r="V119" s="29" t="n">
        <v>45992</v>
      </c>
      <c r="W119" s="18" t="s">
        <v>1060</v>
      </c>
      <c r="X119" s="23" t="s">
        <v>1061</v>
      </c>
      <c r="Y119" s="18" t="s">
        <v>1062</v>
      </c>
      <c r="Z119" s="18" t="s">
        <v>254</v>
      </c>
      <c r="AA119" s="18" t="s">
        <v>1063</v>
      </c>
      <c r="AB119" s="18" t="s">
        <v>151</v>
      </c>
      <c r="AC119" s="18"/>
    </row>
    <row r="120" customFormat="false" ht="30" hidden="false" customHeight="true" outlineLevel="0" collapsed="false">
      <c r="A120" s="18" t="s">
        <v>1064</v>
      </c>
      <c r="B120" s="19" t="n">
        <v>1</v>
      </c>
      <c r="C120" s="20" t="str">
        <f aca="false">IF(L120="","C",IF(L120&gt;=Lists!$I$2,"A",IF(L120&gt;=Lists!$I$3,"B","C")))</f>
        <v>B</v>
      </c>
      <c r="D120" s="21" t="s">
        <v>137</v>
      </c>
      <c r="E120" s="22" t="s">
        <v>1065</v>
      </c>
      <c r="F120" s="18"/>
      <c r="G120" s="23" t="s">
        <v>1066</v>
      </c>
      <c r="H120" s="18"/>
      <c r="I120" s="21" t="s">
        <v>1067</v>
      </c>
      <c r="J120" s="18" t="s">
        <v>477</v>
      </c>
      <c r="K120" s="18" t="s">
        <v>42</v>
      </c>
      <c r="L120" s="24" t="n">
        <v>150000</v>
      </c>
      <c r="M120" s="19" t="n">
        <f aca="false">IF(G120="To be found",COUNTIF($E$2:$E$9999,E120),COUNTIF($G$2:$G$9999,G120))</f>
        <v>2</v>
      </c>
      <c r="N120" s="25"/>
      <c r="O120" s="25" t="s">
        <v>8</v>
      </c>
      <c r="P120" s="26" t="n">
        <v>0</v>
      </c>
      <c r="Q120" s="27"/>
      <c r="R120" s="25"/>
      <c r="S120" s="27"/>
      <c r="T120" s="28"/>
      <c r="U120" s="18" t="s">
        <v>1068</v>
      </c>
      <c r="V120" s="29" t="n">
        <v>45819</v>
      </c>
      <c r="W120" s="18" t="s">
        <v>1069</v>
      </c>
      <c r="X120" s="18"/>
      <c r="Y120" s="18" t="s">
        <v>1070</v>
      </c>
      <c r="Z120" s="18" t="s">
        <v>149</v>
      </c>
      <c r="AA120" s="18" t="s">
        <v>1071</v>
      </c>
      <c r="AB120" s="18" t="s">
        <v>151</v>
      </c>
      <c r="AC120" s="18"/>
    </row>
    <row r="121" customFormat="false" ht="30" hidden="false" customHeight="true" outlineLevel="0" collapsed="false">
      <c r="A121" s="18" t="s">
        <v>1064</v>
      </c>
      <c r="B121" s="19" t="n">
        <v>1</v>
      </c>
      <c r="C121" s="20" t="str">
        <f aca="false">IF(L121="","C",IF(L121&gt;=Lists!$I$2,"A",IF(L121&gt;=Lists!$I$3,"B","C")))</f>
        <v>B</v>
      </c>
      <c r="D121" s="21" t="s">
        <v>97</v>
      </c>
      <c r="E121" s="22" t="s">
        <v>1072</v>
      </c>
      <c r="F121" s="18" t="s">
        <v>1073</v>
      </c>
      <c r="G121" s="23" t="s">
        <v>1066</v>
      </c>
      <c r="H121" s="23" t="s">
        <v>1074</v>
      </c>
      <c r="I121" s="21" t="s">
        <v>1067</v>
      </c>
      <c r="J121" s="18" t="s">
        <v>477</v>
      </c>
      <c r="K121" s="18" t="s">
        <v>42</v>
      </c>
      <c r="L121" s="24" t="n">
        <v>150000</v>
      </c>
      <c r="M121" s="19" t="n">
        <f aca="false">IF(G121="To be found",COUNTIF($E$2:$E$9999,E121),COUNTIF($G$2:$G$9999,G121))</f>
        <v>2</v>
      </c>
      <c r="N121" s="25"/>
      <c r="O121" s="25" t="s">
        <v>8</v>
      </c>
      <c r="P121" s="26" t="n">
        <v>0</v>
      </c>
      <c r="Q121" s="27"/>
      <c r="R121" s="25"/>
      <c r="S121" s="27"/>
      <c r="T121" s="28"/>
      <c r="U121" s="18" t="s">
        <v>1068</v>
      </c>
      <c r="V121" s="29" t="n">
        <v>45819</v>
      </c>
      <c r="W121" s="18" t="s">
        <v>1075</v>
      </c>
      <c r="X121" s="18"/>
      <c r="Y121" s="18" t="s">
        <v>1070</v>
      </c>
      <c r="Z121" s="18" t="s">
        <v>149</v>
      </c>
      <c r="AA121" s="18" t="s">
        <v>1071</v>
      </c>
      <c r="AB121" s="18" t="s">
        <v>151</v>
      </c>
      <c r="AC121" s="18"/>
    </row>
    <row r="122" customFormat="false" ht="30" hidden="false" customHeight="true" outlineLevel="0" collapsed="false">
      <c r="A122" s="18" t="s">
        <v>1076</v>
      </c>
      <c r="B122" s="19" t="n">
        <v>1</v>
      </c>
      <c r="C122" s="20" t="str">
        <f aca="false">IF(L122="","C",IF(L122&gt;=Lists!$I$2,"A",IF(L122&gt;=Lists!$I$3,"B","C")))</f>
        <v>C</v>
      </c>
      <c r="D122" s="21" t="s">
        <v>137</v>
      </c>
      <c r="E122" s="22" t="s">
        <v>1077</v>
      </c>
      <c r="F122" s="18" t="s">
        <v>1078</v>
      </c>
      <c r="G122" s="23" t="s">
        <v>1079</v>
      </c>
      <c r="H122" s="18"/>
      <c r="I122" s="21" t="s">
        <v>181</v>
      </c>
      <c r="J122" s="18" t="s">
        <v>460</v>
      </c>
      <c r="K122" s="18" t="s">
        <v>43</v>
      </c>
      <c r="L122" s="24" t="n">
        <v>50000</v>
      </c>
      <c r="M122" s="19" t="n">
        <f aca="false">IF(G122="To be found",COUNTIF($E$2:$E$9999,E122),COUNTIF($G$2:$G$9999,G122))</f>
        <v>1</v>
      </c>
      <c r="N122" s="25"/>
      <c r="O122" s="25" t="s">
        <v>8</v>
      </c>
      <c r="P122" s="26" t="n">
        <v>0</v>
      </c>
      <c r="Q122" s="27"/>
      <c r="R122" s="25"/>
      <c r="S122" s="27"/>
      <c r="T122" s="28"/>
      <c r="U122" s="18" t="s">
        <v>1080</v>
      </c>
      <c r="V122" s="29" t="n">
        <v>45825</v>
      </c>
      <c r="W122" s="18" t="s">
        <v>1081</v>
      </c>
      <c r="X122" s="23" t="s">
        <v>1082</v>
      </c>
      <c r="Y122" s="18" t="s">
        <v>1081</v>
      </c>
      <c r="Z122" s="18" t="s">
        <v>149</v>
      </c>
      <c r="AA122" s="18" t="s">
        <v>1083</v>
      </c>
      <c r="AB122" s="18" t="s">
        <v>151</v>
      </c>
      <c r="AC122" s="18"/>
    </row>
    <row r="123" customFormat="false" ht="30" hidden="false" customHeight="true" outlineLevel="0" collapsed="false">
      <c r="A123" s="18" t="s">
        <v>1076</v>
      </c>
      <c r="B123" s="19" t="n">
        <v>1</v>
      </c>
      <c r="C123" s="20" t="str">
        <f aca="false">IF(L123="","C",IF(L123&gt;=Lists!$I$2,"A",IF(L123&gt;=Lists!$I$3,"B","C")))</f>
        <v>C</v>
      </c>
      <c r="D123" s="21" t="s">
        <v>97</v>
      </c>
      <c r="E123" s="22" t="s">
        <v>1084</v>
      </c>
      <c r="F123" s="18" t="s">
        <v>1085</v>
      </c>
      <c r="G123" s="23" t="s">
        <v>1086</v>
      </c>
      <c r="H123" s="18"/>
      <c r="I123" s="21" t="s">
        <v>181</v>
      </c>
      <c r="J123" s="18" t="s">
        <v>460</v>
      </c>
      <c r="K123" s="18" t="s">
        <v>43</v>
      </c>
      <c r="L123" s="24" t="n">
        <v>50000</v>
      </c>
      <c r="M123" s="19" t="n">
        <f aca="false">IF(G123="To be found",COUNTIF($E$2:$E$9999,E123),COUNTIF($G$2:$G$9999,G123))</f>
        <v>1</v>
      </c>
      <c r="N123" s="25"/>
      <c r="O123" s="25" t="s">
        <v>8</v>
      </c>
      <c r="P123" s="26" t="n">
        <v>0</v>
      </c>
      <c r="Q123" s="27"/>
      <c r="R123" s="25"/>
      <c r="S123" s="27"/>
      <c r="T123" s="28"/>
      <c r="U123" s="18" t="s">
        <v>1080</v>
      </c>
      <c r="V123" s="29" t="n">
        <v>45825</v>
      </c>
      <c r="W123" s="18" t="s">
        <v>1087</v>
      </c>
      <c r="X123" s="23" t="s">
        <v>1088</v>
      </c>
      <c r="Y123" s="18" t="s">
        <v>1081</v>
      </c>
      <c r="Z123" s="18" t="s">
        <v>149</v>
      </c>
      <c r="AA123" s="18" t="s">
        <v>1083</v>
      </c>
      <c r="AB123" s="18" t="s">
        <v>151</v>
      </c>
      <c r="AC123" s="18"/>
    </row>
    <row r="124" customFormat="false" ht="30" hidden="false" customHeight="true" outlineLevel="0" collapsed="false">
      <c r="A124" s="18" t="s">
        <v>1089</v>
      </c>
      <c r="B124" s="19" t="n">
        <v>1</v>
      </c>
      <c r="C124" s="20" t="str">
        <f aca="false">IF(L124="","C",IF(L124&gt;=Lists!$I$2,"A",IF(L124&gt;=Lists!$I$3,"B","C")))</f>
        <v>B</v>
      </c>
      <c r="D124" s="21" t="s">
        <v>137</v>
      </c>
      <c r="E124" s="22" t="s">
        <v>1090</v>
      </c>
      <c r="F124" s="18" t="s">
        <v>1091</v>
      </c>
      <c r="G124" s="23" t="s">
        <v>1092</v>
      </c>
      <c r="H124" s="18"/>
      <c r="I124" s="21" t="s">
        <v>1093</v>
      </c>
      <c r="J124" s="18" t="s">
        <v>1094</v>
      </c>
      <c r="K124" s="18" t="s">
        <v>43</v>
      </c>
      <c r="L124" s="24" t="n">
        <v>120000</v>
      </c>
      <c r="M124" s="19" t="n">
        <f aca="false">IF(G124="To be found",COUNTIF($E$2:$E$9999,E124),COUNTIF($G$2:$G$9999,G124))</f>
        <v>1</v>
      </c>
      <c r="N124" s="25"/>
      <c r="O124" s="25" t="s">
        <v>8</v>
      </c>
      <c r="P124" s="26" t="n">
        <v>0</v>
      </c>
      <c r="Q124" s="27"/>
      <c r="R124" s="25"/>
      <c r="S124" s="27"/>
      <c r="T124" s="28"/>
      <c r="U124" s="18" t="s">
        <v>1095</v>
      </c>
      <c r="V124" s="29" t="n">
        <v>45825</v>
      </c>
      <c r="W124" s="18" t="s">
        <v>1096</v>
      </c>
      <c r="X124" s="18"/>
      <c r="Y124" s="18" t="s">
        <v>1097</v>
      </c>
      <c r="Z124" s="18" t="s">
        <v>149</v>
      </c>
      <c r="AA124" s="18" t="s">
        <v>1098</v>
      </c>
      <c r="AB124" s="18" t="s">
        <v>151</v>
      </c>
      <c r="AC124" s="18"/>
    </row>
    <row r="125" customFormat="false" ht="30" hidden="false" customHeight="true" outlineLevel="0" collapsed="false">
      <c r="A125" s="18" t="s">
        <v>1089</v>
      </c>
      <c r="B125" s="19" t="n">
        <v>1</v>
      </c>
      <c r="C125" s="20" t="str">
        <f aca="false">IF(L125="","C",IF(L125&gt;=Lists!$I$2,"A",IF(L125&gt;=Lists!$I$3,"B","C")))</f>
        <v>B</v>
      </c>
      <c r="D125" s="21" t="s">
        <v>97</v>
      </c>
      <c r="E125" s="22" t="s">
        <v>1099</v>
      </c>
      <c r="F125" s="18" t="s">
        <v>1100</v>
      </c>
      <c r="G125" s="23" t="s">
        <v>1101</v>
      </c>
      <c r="H125" s="23" t="s">
        <v>1102</v>
      </c>
      <c r="I125" s="21" t="s">
        <v>1093</v>
      </c>
      <c r="J125" s="18" t="s">
        <v>1094</v>
      </c>
      <c r="K125" s="18" t="s">
        <v>43</v>
      </c>
      <c r="L125" s="24" t="n">
        <v>120000</v>
      </c>
      <c r="M125" s="19" t="n">
        <f aca="false">IF(G125="To be found",COUNTIF($E$2:$E$9999,E125),COUNTIF($G$2:$G$9999,G125))</f>
        <v>1</v>
      </c>
      <c r="N125" s="25"/>
      <c r="O125" s="25" t="s">
        <v>8</v>
      </c>
      <c r="P125" s="26" t="n">
        <v>0</v>
      </c>
      <c r="Q125" s="27"/>
      <c r="R125" s="25"/>
      <c r="S125" s="27"/>
      <c r="T125" s="28"/>
      <c r="U125" s="18" t="s">
        <v>1095</v>
      </c>
      <c r="V125" s="29" t="n">
        <v>45825</v>
      </c>
      <c r="W125" s="18" t="s">
        <v>1103</v>
      </c>
      <c r="X125" s="23" t="s">
        <v>902</v>
      </c>
      <c r="Y125" s="18" t="s">
        <v>1097</v>
      </c>
      <c r="Z125" s="18" t="s">
        <v>149</v>
      </c>
      <c r="AA125" s="18" t="s">
        <v>1098</v>
      </c>
      <c r="AB125" s="18" t="s">
        <v>151</v>
      </c>
      <c r="AC125" s="18"/>
    </row>
    <row r="126" customFormat="false" ht="30" hidden="false" customHeight="true" outlineLevel="0" collapsed="false">
      <c r="A126" s="18" t="s">
        <v>1104</v>
      </c>
      <c r="B126" s="19" t="n">
        <v>1</v>
      </c>
      <c r="C126" s="20" t="str">
        <f aca="false">IF(L126="","C",IF(L126&gt;=Lists!$I$2,"A",IF(L126&gt;=Lists!$I$3,"B","C")))</f>
        <v>C</v>
      </c>
      <c r="D126" s="21" t="s">
        <v>137</v>
      </c>
      <c r="E126" s="22" t="s">
        <v>1105</v>
      </c>
      <c r="F126" s="18" t="s">
        <v>1106</v>
      </c>
      <c r="G126" s="23" t="s">
        <v>1107</v>
      </c>
      <c r="H126" s="23" t="s">
        <v>1108</v>
      </c>
      <c r="I126" s="21" t="s">
        <v>1109</v>
      </c>
      <c r="J126" s="18" t="s">
        <v>569</v>
      </c>
      <c r="K126" s="18" t="s">
        <v>43</v>
      </c>
      <c r="L126" s="24" t="n">
        <v>50000</v>
      </c>
      <c r="M126" s="19" t="n">
        <f aca="false">IF(G126="To be found",COUNTIF($E$2:$E$9999,E126),COUNTIF($G$2:$G$9999,G126))</f>
        <v>1</v>
      </c>
      <c r="N126" s="25"/>
      <c r="O126" s="25" t="s">
        <v>8</v>
      </c>
      <c r="P126" s="26" t="n">
        <v>0</v>
      </c>
      <c r="Q126" s="27"/>
      <c r="R126" s="25"/>
      <c r="S126" s="27"/>
      <c r="T126" s="28"/>
      <c r="U126" s="18" t="s">
        <v>1110</v>
      </c>
      <c r="V126" s="29" t="n">
        <v>45826</v>
      </c>
      <c r="W126" s="18" t="s">
        <v>1111</v>
      </c>
      <c r="X126" s="23" t="s">
        <v>1112</v>
      </c>
      <c r="Y126" s="18" t="s">
        <v>573</v>
      </c>
      <c r="Z126" s="18" t="s">
        <v>149</v>
      </c>
      <c r="AA126" s="18" t="s">
        <v>1113</v>
      </c>
      <c r="AB126" s="18" t="s">
        <v>151</v>
      </c>
      <c r="AC126" s="18"/>
    </row>
    <row r="127" customFormat="false" ht="30" hidden="false" customHeight="true" outlineLevel="0" collapsed="false">
      <c r="A127" s="18" t="s">
        <v>1104</v>
      </c>
      <c r="B127" s="19" t="n">
        <v>1</v>
      </c>
      <c r="C127" s="20" t="str">
        <f aca="false">IF(L127="","C",IF(L127&gt;=Lists!$I$2,"A",IF(L127&gt;=Lists!$I$3,"B","C")))</f>
        <v>C</v>
      </c>
      <c r="D127" s="21" t="s">
        <v>97</v>
      </c>
      <c r="E127" s="22" t="s">
        <v>168</v>
      </c>
      <c r="F127" s="18" t="s">
        <v>1114</v>
      </c>
      <c r="G127" s="23" t="s">
        <v>170</v>
      </c>
      <c r="H127" s="18"/>
      <c r="I127" s="21" t="s">
        <v>1109</v>
      </c>
      <c r="J127" s="18" t="s">
        <v>569</v>
      </c>
      <c r="K127" s="18" t="s">
        <v>43</v>
      </c>
      <c r="L127" s="24" t="n">
        <v>50000</v>
      </c>
      <c r="M127" s="19" t="n">
        <f aca="false">IF(G127="To be found",COUNTIF($E$2:$E$9999,E127),COUNTIF($G$2:$G$9999,G127))</f>
        <v>4</v>
      </c>
      <c r="N127" s="25"/>
      <c r="O127" s="25" t="s">
        <v>8</v>
      </c>
      <c r="P127" s="26" t="n">
        <v>0</v>
      </c>
      <c r="Q127" s="27"/>
      <c r="R127" s="25"/>
      <c r="S127" s="27"/>
      <c r="T127" s="28"/>
      <c r="U127" s="18" t="s">
        <v>1110</v>
      </c>
      <c r="V127" s="29" t="n">
        <v>45826</v>
      </c>
      <c r="W127" s="18" t="s">
        <v>174</v>
      </c>
      <c r="X127" s="23" t="s">
        <v>175</v>
      </c>
      <c r="Y127" s="18" t="s">
        <v>573</v>
      </c>
      <c r="Z127" s="18" t="s">
        <v>149</v>
      </c>
      <c r="AA127" s="18" t="s">
        <v>1113</v>
      </c>
      <c r="AB127" s="18" t="s">
        <v>151</v>
      </c>
      <c r="AC127" s="18"/>
    </row>
    <row r="128" customFormat="false" ht="30" hidden="false" customHeight="true" outlineLevel="0" collapsed="false">
      <c r="A128" s="18" t="s">
        <v>1115</v>
      </c>
      <c r="B128" s="19" t="n">
        <v>1</v>
      </c>
      <c r="C128" s="20" t="str">
        <f aca="false">IF(L128="","C",IF(L128&gt;=Lists!$I$2,"A",IF(L128&gt;=Lists!$I$3,"B","C")))</f>
        <v>B</v>
      </c>
      <c r="D128" s="21" t="s">
        <v>137</v>
      </c>
      <c r="E128" s="22" t="s">
        <v>1116</v>
      </c>
      <c r="F128" s="18" t="s">
        <v>1117</v>
      </c>
      <c r="G128" s="23" t="s">
        <v>1118</v>
      </c>
      <c r="H128" s="23" t="s">
        <v>1119</v>
      </c>
      <c r="I128" s="21" t="s">
        <v>1120</v>
      </c>
      <c r="J128" s="18" t="s">
        <v>182</v>
      </c>
      <c r="K128" s="18" t="s">
        <v>43</v>
      </c>
      <c r="L128" s="24" t="n">
        <v>200000</v>
      </c>
      <c r="M128" s="19" t="n">
        <f aca="false">IF(G128="To be found",COUNTIF($E$2:$E$9999,E128),COUNTIF($G$2:$G$9999,G128))</f>
        <v>1</v>
      </c>
      <c r="N128" s="25"/>
      <c r="O128" s="25" t="s">
        <v>8</v>
      </c>
      <c r="P128" s="26" t="n">
        <v>0</v>
      </c>
      <c r="Q128" s="27"/>
      <c r="R128" s="25"/>
      <c r="S128" s="27"/>
      <c r="T128" s="28"/>
      <c r="U128" s="18" t="s">
        <v>1121</v>
      </c>
      <c r="V128" s="29" t="n">
        <v>45827</v>
      </c>
      <c r="W128" s="18" t="s">
        <v>1122</v>
      </c>
      <c r="X128" s="23" t="s">
        <v>1123</v>
      </c>
      <c r="Y128" s="18" t="s">
        <v>1124</v>
      </c>
      <c r="Z128" s="18" t="s">
        <v>149</v>
      </c>
      <c r="AA128" s="18" t="s">
        <v>1125</v>
      </c>
      <c r="AB128" s="18" t="s">
        <v>151</v>
      </c>
      <c r="AC128" s="18"/>
    </row>
    <row r="129" customFormat="false" ht="30" hidden="false" customHeight="true" outlineLevel="0" collapsed="false">
      <c r="A129" s="18" t="s">
        <v>1115</v>
      </c>
      <c r="B129" s="19" t="n">
        <v>1</v>
      </c>
      <c r="C129" s="20" t="str">
        <f aca="false">IF(L129="","C",IF(L129&gt;=Lists!$I$2,"A",IF(L129&gt;=Lists!$I$3,"B","C")))</f>
        <v>B</v>
      </c>
      <c r="D129" s="21" t="s">
        <v>97</v>
      </c>
      <c r="E129" s="22" t="s">
        <v>869</v>
      </c>
      <c r="F129" s="18" t="s">
        <v>1126</v>
      </c>
      <c r="G129" s="23" t="s">
        <v>871</v>
      </c>
      <c r="H129" s="23" t="s">
        <v>1127</v>
      </c>
      <c r="I129" s="21" t="s">
        <v>1120</v>
      </c>
      <c r="J129" s="18" t="s">
        <v>182</v>
      </c>
      <c r="K129" s="18" t="s">
        <v>43</v>
      </c>
      <c r="L129" s="24" t="n">
        <v>200000</v>
      </c>
      <c r="M129" s="19" t="n">
        <f aca="false">IF(G129="To be found",COUNTIF($E$2:$E$9999,E129),COUNTIF($G$2:$G$9999,G129))</f>
        <v>3</v>
      </c>
      <c r="N129" s="25"/>
      <c r="O129" s="25" t="s">
        <v>8</v>
      </c>
      <c r="P129" s="26" t="n">
        <v>0</v>
      </c>
      <c r="Q129" s="27"/>
      <c r="R129" s="25"/>
      <c r="S129" s="27"/>
      <c r="T129" s="28"/>
      <c r="U129" s="18" t="s">
        <v>1121</v>
      </c>
      <c r="V129" s="29" t="n">
        <v>45827</v>
      </c>
      <c r="W129" s="18" t="s">
        <v>873</v>
      </c>
      <c r="X129" s="23" t="s">
        <v>1128</v>
      </c>
      <c r="Y129" s="18" t="s">
        <v>1124</v>
      </c>
      <c r="Z129" s="18" t="s">
        <v>149</v>
      </c>
      <c r="AA129" s="18" t="s">
        <v>1125</v>
      </c>
      <c r="AB129" s="18" t="s">
        <v>151</v>
      </c>
      <c r="AC129" s="18"/>
    </row>
    <row r="130" customFormat="false" ht="30" hidden="false" customHeight="true" outlineLevel="0" collapsed="false">
      <c r="A130" s="18" t="s">
        <v>1129</v>
      </c>
      <c r="B130" s="19" t="n">
        <v>1</v>
      </c>
      <c r="C130" s="20" t="str">
        <f aca="false">IF(L130="","C",IF(L130&gt;=Lists!$I$2,"A",IF(L130&gt;=Lists!$I$3,"B","C")))</f>
        <v>B</v>
      </c>
      <c r="D130" s="21" t="s">
        <v>137</v>
      </c>
      <c r="E130" s="22" t="s">
        <v>1130</v>
      </c>
      <c r="F130" s="18" t="s">
        <v>1131</v>
      </c>
      <c r="G130" s="23" t="s">
        <v>1132</v>
      </c>
      <c r="H130" s="18"/>
      <c r="I130" s="21" t="s">
        <v>1120</v>
      </c>
      <c r="J130" s="18" t="s">
        <v>569</v>
      </c>
      <c r="K130" s="18" t="s">
        <v>43</v>
      </c>
      <c r="L130" s="24" t="n">
        <v>200000</v>
      </c>
      <c r="M130" s="19" t="n">
        <f aca="false">IF(G130="To be found",COUNTIF($E$2:$E$9999,E130),COUNTIF($G$2:$G$9999,G130))</f>
        <v>1</v>
      </c>
      <c r="N130" s="25"/>
      <c r="O130" s="25" t="s">
        <v>8</v>
      </c>
      <c r="P130" s="26" t="n">
        <v>0</v>
      </c>
      <c r="Q130" s="27"/>
      <c r="R130" s="25"/>
      <c r="S130" s="27"/>
      <c r="T130" s="28"/>
      <c r="U130" s="18" t="s">
        <v>1133</v>
      </c>
      <c r="V130" s="29" t="n">
        <v>45827</v>
      </c>
      <c r="W130" s="18" t="s">
        <v>1134</v>
      </c>
      <c r="X130" s="23" t="s">
        <v>1135</v>
      </c>
      <c r="Y130" s="18" t="s">
        <v>1136</v>
      </c>
      <c r="Z130" s="18" t="s">
        <v>149</v>
      </c>
      <c r="AA130" s="18" t="s">
        <v>1137</v>
      </c>
      <c r="AB130" s="18" t="s">
        <v>151</v>
      </c>
      <c r="AC130" s="18"/>
    </row>
    <row r="131" customFormat="false" ht="30" hidden="false" customHeight="true" outlineLevel="0" collapsed="false">
      <c r="A131" s="18" t="s">
        <v>1129</v>
      </c>
      <c r="B131" s="19" t="n">
        <v>1</v>
      </c>
      <c r="C131" s="20" t="str">
        <f aca="false">IF(L131="","C",IF(L131&gt;=Lists!$I$2,"A",IF(L131&gt;=Lists!$I$3,"B","C")))</f>
        <v>B</v>
      </c>
      <c r="D131" s="21" t="s">
        <v>97</v>
      </c>
      <c r="E131" s="22" t="s">
        <v>1138</v>
      </c>
      <c r="F131" s="18"/>
      <c r="G131" s="23" t="s">
        <v>1139</v>
      </c>
      <c r="H131" s="23" t="s">
        <v>1140</v>
      </c>
      <c r="I131" s="21" t="s">
        <v>1120</v>
      </c>
      <c r="J131" s="18" t="s">
        <v>569</v>
      </c>
      <c r="K131" s="18" t="s">
        <v>43</v>
      </c>
      <c r="L131" s="24" t="n">
        <v>200000</v>
      </c>
      <c r="M131" s="19" t="n">
        <f aca="false">IF(G131="To be found",COUNTIF($E$2:$E$9999,E131),COUNTIF($G$2:$G$9999,G131))</f>
        <v>1</v>
      </c>
      <c r="N131" s="25"/>
      <c r="O131" s="25" t="s">
        <v>8</v>
      </c>
      <c r="P131" s="26" t="n">
        <v>0</v>
      </c>
      <c r="Q131" s="27"/>
      <c r="R131" s="25"/>
      <c r="S131" s="27"/>
      <c r="T131" s="28"/>
      <c r="U131" s="18" t="s">
        <v>1133</v>
      </c>
      <c r="V131" s="29" t="n">
        <v>45827</v>
      </c>
      <c r="W131" s="18" t="s">
        <v>1141</v>
      </c>
      <c r="X131" s="23" t="s">
        <v>1142</v>
      </c>
      <c r="Y131" s="18" t="s">
        <v>1136</v>
      </c>
      <c r="Z131" s="18" t="s">
        <v>149</v>
      </c>
      <c r="AA131" s="18" t="s">
        <v>1137</v>
      </c>
      <c r="AB131" s="18" t="s">
        <v>151</v>
      </c>
      <c r="AC131" s="18"/>
    </row>
    <row r="132" customFormat="false" ht="30" hidden="false" customHeight="true" outlineLevel="0" collapsed="false">
      <c r="A132" s="18" t="s">
        <v>1143</v>
      </c>
      <c r="B132" s="19" t="n">
        <v>1</v>
      </c>
      <c r="C132" s="20" t="str">
        <f aca="false">IF(L132="","C",IF(L132&gt;=Lists!$I$2,"A",IF(L132&gt;=Lists!$I$3,"B","C")))</f>
        <v>C</v>
      </c>
      <c r="D132" s="21" t="s">
        <v>137</v>
      </c>
      <c r="E132" s="22" t="s">
        <v>1144</v>
      </c>
      <c r="F132" s="18"/>
      <c r="G132" s="23" t="s">
        <v>1145</v>
      </c>
      <c r="H132" s="18"/>
      <c r="I132" s="21" t="s">
        <v>1146</v>
      </c>
      <c r="J132" s="18" t="s">
        <v>509</v>
      </c>
      <c r="K132" s="18" t="s">
        <v>43</v>
      </c>
      <c r="L132" s="24" t="n">
        <v>70000</v>
      </c>
      <c r="M132" s="19" t="n">
        <f aca="false">IF(G132="To be found",COUNTIF($E$2:$E$9999,E132),COUNTIF($G$2:$G$9999,G132))</f>
        <v>1</v>
      </c>
      <c r="N132" s="25"/>
      <c r="O132" s="25" t="s">
        <v>8</v>
      </c>
      <c r="P132" s="26" t="n">
        <v>0</v>
      </c>
      <c r="Q132" s="27"/>
      <c r="R132" s="25"/>
      <c r="S132" s="27"/>
      <c r="T132" s="28"/>
      <c r="U132" s="18" t="s">
        <v>1147</v>
      </c>
      <c r="V132" s="29" t="n">
        <v>45827</v>
      </c>
      <c r="W132" s="18" t="s">
        <v>528</v>
      </c>
      <c r="X132" s="23" t="s">
        <v>1148</v>
      </c>
      <c r="Y132" s="18" t="s">
        <v>909</v>
      </c>
      <c r="Z132" s="18" t="s">
        <v>149</v>
      </c>
      <c r="AA132" s="18" t="s">
        <v>1146</v>
      </c>
      <c r="AB132" s="18" t="s">
        <v>151</v>
      </c>
      <c r="AC132" s="18"/>
    </row>
    <row r="133" customFormat="false" ht="30" hidden="false" customHeight="true" outlineLevel="0" collapsed="false">
      <c r="A133" s="18" t="s">
        <v>1143</v>
      </c>
      <c r="B133" s="19" t="n">
        <v>1</v>
      </c>
      <c r="C133" s="20" t="str">
        <f aca="false">IF(L133="","C",IF(L133&gt;=Lists!$I$2,"A",IF(L133&gt;=Lists!$I$3,"B","C")))</f>
        <v>C</v>
      </c>
      <c r="D133" s="21" t="s">
        <v>97</v>
      </c>
      <c r="E133" s="22" t="s">
        <v>1149</v>
      </c>
      <c r="F133" s="18"/>
      <c r="G133" s="30" t="s">
        <v>153</v>
      </c>
      <c r="H133" s="18"/>
      <c r="I133" s="21" t="s">
        <v>1146</v>
      </c>
      <c r="J133" s="18" t="s">
        <v>509</v>
      </c>
      <c r="K133" s="18" t="s">
        <v>43</v>
      </c>
      <c r="L133" s="24" t="n">
        <v>70000</v>
      </c>
      <c r="M133" s="19" t="n">
        <f aca="false">IF(G133="To be found",COUNTIF($E$2:$E$9999,E133),COUNTIF($G$2:$G$9999,G133))</f>
        <v>1</v>
      </c>
      <c r="N133" s="25"/>
      <c r="O133" s="25" t="s">
        <v>8</v>
      </c>
      <c r="P133" s="26" t="n">
        <v>0</v>
      </c>
      <c r="Q133" s="27"/>
      <c r="R133" s="25"/>
      <c r="S133" s="27"/>
      <c r="T133" s="28"/>
      <c r="U133" s="18" t="s">
        <v>1147</v>
      </c>
      <c r="V133" s="29" t="n">
        <v>45827</v>
      </c>
      <c r="W133" s="18" t="s">
        <v>156</v>
      </c>
      <c r="X133" s="18"/>
      <c r="Y133" s="18" t="s">
        <v>909</v>
      </c>
      <c r="Z133" s="18" t="s">
        <v>149</v>
      </c>
      <c r="AA133" s="18" t="s">
        <v>1146</v>
      </c>
      <c r="AB133" s="18" t="s">
        <v>151</v>
      </c>
      <c r="AC133" s="18"/>
    </row>
    <row r="134" customFormat="false" ht="30" hidden="false" customHeight="true" outlineLevel="0" collapsed="false">
      <c r="A134" s="18" t="s">
        <v>1150</v>
      </c>
      <c r="B134" s="19" t="n">
        <v>1</v>
      </c>
      <c r="C134" s="20" t="str">
        <f aca="false">IF(L134="","C",IF(L134&gt;=Lists!$I$2,"A",IF(L134&gt;=Lists!$I$3,"B","C")))</f>
        <v>C</v>
      </c>
      <c r="D134" s="21" t="s">
        <v>137</v>
      </c>
      <c r="E134" s="22" t="s">
        <v>1151</v>
      </c>
      <c r="F134" s="18"/>
      <c r="G134" s="23" t="s">
        <v>1152</v>
      </c>
      <c r="H134" s="23" t="s">
        <v>1153</v>
      </c>
      <c r="I134" s="21" t="s">
        <v>1154</v>
      </c>
      <c r="J134" s="18" t="s">
        <v>1155</v>
      </c>
      <c r="K134" s="18" t="s">
        <v>43</v>
      </c>
      <c r="L134" s="24" t="n">
        <v>50000</v>
      </c>
      <c r="M134" s="19" t="n">
        <f aca="false">IF(G134="To be found",COUNTIF($E$2:$E$9999,E134),COUNTIF($G$2:$G$9999,G134))</f>
        <v>1</v>
      </c>
      <c r="N134" s="25"/>
      <c r="O134" s="25" t="s">
        <v>8</v>
      </c>
      <c r="P134" s="26" t="n">
        <v>0</v>
      </c>
      <c r="Q134" s="27"/>
      <c r="R134" s="25"/>
      <c r="S134" s="27"/>
      <c r="T134" s="28"/>
      <c r="U134" s="18" t="s">
        <v>1156</v>
      </c>
      <c r="V134" s="29" t="n">
        <v>45866</v>
      </c>
      <c r="W134" s="18" t="s">
        <v>1157</v>
      </c>
      <c r="X134" s="23" t="s">
        <v>1158</v>
      </c>
      <c r="Y134" s="18" t="s">
        <v>1159</v>
      </c>
      <c r="Z134" s="18" t="s">
        <v>149</v>
      </c>
      <c r="AA134" s="18" t="s">
        <v>1154</v>
      </c>
      <c r="AB134" s="18" t="s">
        <v>151</v>
      </c>
      <c r="AC134" s="18"/>
    </row>
    <row r="135" customFormat="false" ht="30" hidden="false" customHeight="true" outlineLevel="0" collapsed="false">
      <c r="A135" s="18" t="s">
        <v>1150</v>
      </c>
      <c r="B135" s="19" t="n">
        <v>1</v>
      </c>
      <c r="C135" s="20" t="str">
        <f aca="false">IF(L135="","C",IF(L135&gt;=Lists!$I$2,"A",IF(L135&gt;=Lists!$I$3,"B","C")))</f>
        <v>C</v>
      </c>
      <c r="D135" s="21" t="s">
        <v>97</v>
      </c>
      <c r="E135" s="22" t="s">
        <v>829</v>
      </c>
      <c r="F135" s="18" t="s">
        <v>830</v>
      </c>
      <c r="G135" s="23" t="s">
        <v>831</v>
      </c>
      <c r="H135" s="23" t="s">
        <v>832</v>
      </c>
      <c r="I135" s="21" t="s">
        <v>1154</v>
      </c>
      <c r="J135" s="18" t="s">
        <v>1155</v>
      </c>
      <c r="K135" s="18" t="s">
        <v>43</v>
      </c>
      <c r="L135" s="24" t="n">
        <v>50000</v>
      </c>
      <c r="M135" s="19" t="n">
        <f aca="false">IF(G135="To be found",COUNTIF($E$2:$E$9999,E135),COUNTIF($G$2:$G$9999,G135))</f>
        <v>5</v>
      </c>
      <c r="N135" s="25"/>
      <c r="O135" s="25" t="s">
        <v>8</v>
      </c>
      <c r="P135" s="26" t="n">
        <v>0</v>
      </c>
      <c r="Q135" s="27"/>
      <c r="R135" s="25"/>
      <c r="S135" s="27"/>
      <c r="T135" s="28"/>
      <c r="U135" s="18" t="s">
        <v>1156</v>
      </c>
      <c r="V135" s="29" t="n">
        <v>45866</v>
      </c>
      <c r="W135" s="18" t="s">
        <v>833</v>
      </c>
      <c r="X135" s="23" t="s">
        <v>834</v>
      </c>
      <c r="Y135" s="18" t="s">
        <v>1159</v>
      </c>
      <c r="Z135" s="18" t="s">
        <v>149</v>
      </c>
      <c r="AA135" s="18" t="s">
        <v>1154</v>
      </c>
      <c r="AB135" s="18" t="s">
        <v>151</v>
      </c>
      <c r="AC135" s="18"/>
    </row>
    <row r="136" customFormat="false" ht="30" hidden="false" customHeight="true" outlineLevel="0" collapsed="false">
      <c r="A136" s="18" t="s">
        <v>1160</v>
      </c>
      <c r="B136" s="19" t="n">
        <v>1</v>
      </c>
      <c r="C136" s="20" t="str">
        <f aca="false">IF(L136="","C",IF(L136&gt;=Lists!$I$2,"A",IF(L136&gt;=Lists!$I$3,"B","C")))</f>
        <v>C</v>
      </c>
      <c r="D136" s="21" t="s">
        <v>137</v>
      </c>
      <c r="E136" s="22" t="s">
        <v>504</v>
      </c>
      <c r="F136" s="18" t="s">
        <v>505</v>
      </c>
      <c r="G136" s="23" t="s">
        <v>506</v>
      </c>
      <c r="H136" s="23" t="s">
        <v>507</v>
      </c>
      <c r="I136" s="21" t="s">
        <v>508</v>
      </c>
      <c r="J136" s="18" t="s">
        <v>509</v>
      </c>
      <c r="K136" s="18" t="s">
        <v>42</v>
      </c>
      <c r="L136" s="24" t="n">
        <v>50000</v>
      </c>
      <c r="M136" s="19" t="n">
        <f aca="false">IF(G136="To be found",COUNTIF($E$2:$E$9999,E136),COUNTIF($G$2:$G$9999,G136))</f>
        <v>2</v>
      </c>
      <c r="N136" s="25"/>
      <c r="O136" s="25" t="s">
        <v>8</v>
      </c>
      <c r="P136" s="26" t="n">
        <v>0</v>
      </c>
      <c r="Q136" s="27"/>
      <c r="R136" s="25"/>
      <c r="S136" s="27"/>
      <c r="T136" s="28"/>
      <c r="U136" s="18" t="s">
        <v>510</v>
      </c>
      <c r="V136" s="29" t="n">
        <v>45861</v>
      </c>
      <c r="W136" s="18" t="s">
        <v>511</v>
      </c>
      <c r="X136" s="23" t="s">
        <v>512</v>
      </c>
      <c r="Y136" s="18" t="s">
        <v>513</v>
      </c>
      <c r="Z136" s="18" t="s">
        <v>149</v>
      </c>
      <c r="AA136" s="18" t="s">
        <v>514</v>
      </c>
      <c r="AB136" s="18" t="s">
        <v>151</v>
      </c>
      <c r="AC136" s="18" t="s">
        <v>1161</v>
      </c>
    </row>
    <row r="137" customFormat="false" ht="30" hidden="false" customHeight="true" outlineLevel="0" collapsed="false">
      <c r="A137" s="18" t="s">
        <v>1160</v>
      </c>
      <c r="B137" s="19" t="n">
        <v>1</v>
      </c>
      <c r="C137" s="20" t="str">
        <f aca="false">IF(L137="","C",IF(L137&gt;=Lists!$I$2,"A",IF(L137&gt;=Lists!$I$3,"B","C")))</f>
        <v>C</v>
      </c>
      <c r="D137" s="21" t="s">
        <v>97</v>
      </c>
      <c r="E137" s="22" t="s">
        <v>516</v>
      </c>
      <c r="F137" s="18" t="s">
        <v>517</v>
      </c>
      <c r="G137" s="23" t="s">
        <v>518</v>
      </c>
      <c r="H137" s="23" t="s">
        <v>519</v>
      </c>
      <c r="I137" s="21" t="s">
        <v>508</v>
      </c>
      <c r="J137" s="18" t="s">
        <v>509</v>
      </c>
      <c r="K137" s="18" t="s">
        <v>42</v>
      </c>
      <c r="L137" s="24" t="n">
        <v>50000</v>
      </c>
      <c r="M137" s="19" t="n">
        <f aca="false">IF(G137="To be found",COUNTIF($E$2:$E$9999,E137),COUNTIF($G$2:$G$9999,G137))</f>
        <v>2</v>
      </c>
      <c r="N137" s="25"/>
      <c r="O137" s="25" t="s">
        <v>8</v>
      </c>
      <c r="P137" s="26" t="n">
        <v>0</v>
      </c>
      <c r="Q137" s="27"/>
      <c r="R137" s="25"/>
      <c r="S137" s="27"/>
      <c r="T137" s="28"/>
      <c r="U137" s="18" t="s">
        <v>510</v>
      </c>
      <c r="V137" s="29" t="n">
        <v>45861</v>
      </c>
      <c r="W137" s="18" t="s">
        <v>520</v>
      </c>
      <c r="X137" s="23" t="s">
        <v>521</v>
      </c>
      <c r="Y137" s="18" t="s">
        <v>513</v>
      </c>
      <c r="Z137" s="18" t="s">
        <v>149</v>
      </c>
      <c r="AA137" s="18" t="s">
        <v>514</v>
      </c>
      <c r="AB137" s="18" t="s">
        <v>151</v>
      </c>
      <c r="AC137" s="18" t="s">
        <v>1161</v>
      </c>
    </row>
    <row r="138" customFormat="false" ht="30" hidden="false" customHeight="true" outlineLevel="0" collapsed="false">
      <c r="A138" s="18" t="s">
        <v>1160</v>
      </c>
      <c r="B138" s="19" t="n">
        <v>2</v>
      </c>
      <c r="C138" s="20" t="str">
        <f aca="false">IF(L138="","C",IF(L138&gt;=Lists!$I$2,"A",IF(L138&gt;=Lists!$I$3,"B","C")))</f>
        <v>A</v>
      </c>
      <c r="D138" s="21" t="s">
        <v>137</v>
      </c>
      <c r="E138" s="22" t="s">
        <v>365</v>
      </c>
      <c r="F138" s="18"/>
      <c r="G138" s="23" t="s">
        <v>366</v>
      </c>
      <c r="H138" s="23" t="s">
        <v>367</v>
      </c>
      <c r="I138" s="21" t="s">
        <v>368</v>
      </c>
      <c r="J138" s="18" t="s">
        <v>369</v>
      </c>
      <c r="K138" s="18" t="s">
        <v>43</v>
      </c>
      <c r="L138" s="24" t="n">
        <v>12000000</v>
      </c>
      <c r="M138" s="19" t="n">
        <f aca="false">IF(G138="To be found",COUNTIF($E$2:$E$9999,E138),COUNTIF($G$2:$G$9999,G138))</f>
        <v>2</v>
      </c>
      <c r="N138" s="25"/>
      <c r="O138" s="25" t="s">
        <v>8</v>
      </c>
      <c r="P138" s="26" t="n">
        <v>0</v>
      </c>
      <c r="Q138" s="27"/>
      <c r="R138" s="25"/>
      <c r="S138" s="27"/>
      <c r="T138" s="28"/>
      <c r="U138" s="18" t="s">
        <v>370</v>
      </c>
      <c r="V138" s="29" t="n">
        <v>45251</v>
      </c>
      <c r="W138" s="18" t="s">
        <v>371</v>
      </c>
      <c r="X138" s="23" t="s">
        <v>372</v>
      </c>
      <c r="Y138" s="18" t="s">
        <v>373</v>
      </c>
      <c r="Z138" s="18" t="s">
        <v>254</v>
      </c>
      <c r="AA138" s="18" t="s">
        <v>374</v>
      </c>
      <c r="AB138" s="18" t="s">
        <v>151</v>
      </c>
      <c r="AC138" s="18" t="s">
        <v>1162</v>
      </c>
    </row>
    <row r="139" customFormat="false" ht="30" hidden="false" customHeight="true" outlineLevel="0" collapsed="false">
      <c r="A139" s="18" t="s">
        <v>1160</v>
      </c>
      <c r="B139" s="19" t="n">
        <v>2</v>
      </c>
      <c r="C139" s="20" t="str">
        <f aca="false">IF(L139="","C",IF(L139&gt;=Lists!$I$2,"A",IF(L139&gt;=Lists!$I$3,"B","C")))</f>
        <v>A</v>
      </c>
      <c r="D139" s="21" t="s">
        <v>137</v>
      </c>
      <c r="E139" s="22" t="s">
        <v>376</v>
      </c>
      <c r="F139" s="18"/>
      <c r="G139" s="23" t="s">
        <v>377</v>
      </c>
      <c r="H139" s="23" t="s">
        <v>378</v>
      </c>
      <c r="I139" s="21" t="s">
        <v>368</v>
      </c>
      <c r="J139" s="18" t="s">
        <v>369</v>
      </c>
      <c r="K139" s="18" t="s">
        <v>43</v>
      </c>
      <c r="L139" s="24" t="n">
        <v>12000000</v>
      </c>
      <c r="M139" s="19" t="n">
        <f aca="false">IF(G139="To be found",COUNTIF($E$2:$E$9999,E139),COUNTIF($G$2:$G$9999,G139))</f>
        <v>5</v>
      </c>
      <c r="N139" s="25"/>
      <c r="O139" s="25" t="s">
        <v>8</v>
      </c>
      <c r="P139" s="26" t="n">
        <v>0</v>
      </c>
      <c r="Q139" s="27"/>
      <c r="R139" s="25"/>
      <c r="S139" s="27"/>
      <c r="T139" s="28"/>
      <c r="U139" s="18" t="s">
        <v>370</v>
      </c>
      <c r="V139" s="29" t="n">
        <v>45251</v>
      </c>
      <c r="W139" s="18" t="s">
        <v>379</v>
      </c>
      <c r="X139" s="23" t="s">
        <v>372</v>
      </c>
      <c r="Y139" s="18" t="s">
        <v>373</v>
      </c>
      <c r="Z139" s="18" t="s">
        <v>254</v>
      </c>
      <c r="AA139" s="18" t="s">
        <v>374</v>
      </c>
      <c r="AB139" s="18" t="s">
        <v>151</v>
      </c>
      <c r="AC139" s="18" t="s">
        <v>1162</v>
      </c>
    </row>
    <row r="140" customFormat="false" ht="30" hidden="false" customHeight="true" outlineLevel="0" collapsed="false">
      <c r="A140" s="18" t="s">
        <v>1160</v>
      </c>
      <c r="B140" s="19" t="n">
        <v>2</v>
      </c>
      <c r="C140" s="20" t="str">
        <f aca="false">IF(L140="","C",IF(L140&gt;=Lists!$I$2,"A",IF(L140&gt;=Lists!$I$3,"B","C")))</f>
        <v>A</v>
      </c>
      <c r="D140" s="21" t="s">
        <v>137</v>
      </c>
      <c r="E140" s="22" t="s">
        <v>380</v>
      </c>
      <c r="F140" s="18"/>
      <c r="G140" s="23" t="s">
        <v>381</v>
      </c>
      <c r="H140" s="18"/>
      <c r="I140" s="21" t="s">
        <v>368</v>
      </c>
      <c r="J140" s="18" t="s">
        <v>369</v>
      </c>
      <c r="K140" s="18" t="s">
        <v>43</v>
      </c>
      <c r="L140" s="24" t="n">
        <v>12000000</v>
      </c>
      <c r="M140" s="19" t="n">
        <f aca="false">IF(G140="To be found",COUNTIF($E$2:$E$9999,E140),COUNTIF($G$2:$G$9999,G140))</f>
        <v>2</v>
      </c>
      <c r="N140" s="25"/>
      <c r="O140" s="25" t="s">
        <v>8</v>
      </c>
      <c r="P140" s="26" t="n">
        <v>0</v>
      </c>
      <c r="Q140" s="27"/>
      <c r="R140" s="25"/>
      <c r="S140" s="27"/>
      <c r="T140" s="28"/>
      <c r="U140" s="18" t="s">
        <v>370</v>
      </c>
      <c r="V140" s="29" t="n">
        <v>45251</v>
      </c>
      <c r="W140" s="18"/>
      <c r="X140" s="18"/>
      <c r="Y140" s="18" t="s">
        <v>373</v>
      </c>
      <c r="Z140" s="18" t="s">
        <v>254</v>
      </c>
      <c r="AA140" s="18" t="s">
        <v>374</v>
      </c>
      <c r="AB140" s="18" t="s">
        <v>112</v>
      </c>
      <c r="AC140" s="18" t="s">
        <v>1162</v>
      </c>
    </row>
    <row r="141" customFormat="false" ht="30" hidden="false" customHeight="true" outlineLevel="0" collapsed="false">
      <c r="A141" s="18" t="s">
        <v>1160</v>
      </c>
      <c r="B141" s="19" t="n">
        <v>2</v>
      </c>
      <c r="C141" s="20" t="str">
        <f aca="false">IF(L141="","C",IF(L141&gt;=Lists!$I$2,"A",IF(L141&gt;=Lists!$I$3,"B","C")))</f>
        <v>A</v>
      </c>
      <c r="D141" s="21" t="s">
        <v>97</v>
      </c>
      <c r="E141" s="22" t="s">
        <v>382</v>
      </c>
      <c r="F141" s="18"/>
      <c r="G141" s="23" t="s">
        <v>383</v>
      </c>
      <c r="H141" s="18"/>
      <c r="I141" s="21" t="s">
        <v>368</v>
      </c>
      <c r="J141" s="18" t="s">
        <v>369</v>
      </c>
      <c r="K141" s="18" t="s">
        <v>43</v>
      </c>
      <c r="L141" s="24" t="n">
        <v>12000000</v>
      </c>
      <c r="M141" s="19" t="n">
        <f aca="false">IF(G141="To be found",COUNTIF($E$2:$E$9999,E141),COUNTIF($G$2:$G$9999,G141))</f>
        <v>2</v>
      </c>
      <c r="N141" s="25"/>
      <c r="O141" s="25" t="s">
        <v>8</v>
      </c>
      <c r="P141" s="26" t="n">
        <v>0</v>
      </c>
      <c r="Q141" s="27"/>
      <c r="R141" s="25"/>
      <c r="S141" s="27"/>
      <c r="T141" s="28"/>
      <c r="U141" s="18" t="s">
        <v>370</v>
      </c>
      <c r="V141" s="29" t="n">
        <v>45251</v>
      </c>
      <c r="W141" s="18"/>
      <c r="X141" s="18"/>
      <c r="Y141" s="18" t="s">
        <v>373</v>
      </c>
      <c r="Z141" s="18" t="s">
        <v>254</v>
      </c>
      <c r="AA141" s="18" t="s">
        <v>374</v>
      </c>
      <c r="AB141" s="18" t="s">
        <v>112</v>
      </c>
      <c r="AC141" s="18" t="s">
        <v>1162</v>
      </c>
    </row>
    <row r="142" customFormat="false" ht="30" hidden="false" customHeight="true" outlineLevel="0" collapsed="false">
      <c r="A142" s="18" t="s">
        <v>1163</v>
      </c>
      <c r="B142" s="19" t="n">
        <v>1</v>
      </c>
      <c r="C142" s="20" t="str">
        <f aca="false">IF(L142="","C",IF(L142&gt;=Lists!$I$2,"A",IF(L142&gt;=Lists!$I$3,"B","C")))</f>
        <v>A</v>
      </c>
      <c r="D142" s="21" t="s">
        <v>137</v>
      </c>
      <c r="E142" s="22" t="s">
        <v>1164</v>
      </c>
      <c r="F142" s="18"/>
      <c r="G142" s="23" t="s">
        <v>1165</v>
      </c>
      <c r="H142" s="18"/>
      <c r="I142" s="21" t="s">
        <v>526</v>
      </c>
      <c r="J142" s="18" t="s">
        <v>182</v>
      </c>
      <c r="K142" s="18" t="s">
        <v>43</v>
      </c>
      <c r="L142" s="24" t="n">
        <v>500000</v>
      </c>
      <c r="M142" s="19" t="n">
        <f aca="false">IF(G142="To be found",COUNTIF($E$2:$E$9999,E142),COUNTIF($G$2:$G$9999,G142))</f>
        <v>1</v>
      </c>
      <c r="N142" s="25"/>
      <c r="O142" s="25" t="s">
        <v>8</v>
      </c>
      <c r="P142" s="26" t="n">
        <v>0</v>
      </c>
      <c r="Q142" s="27"/>
      <c r="R142" s="25"/>
      <c r="S142" s="27"/>
      <c r="T142" s="28"/>
      <c r="U142" s="18" t="s">
        <v>1166</v>
      </c>
      <c r="V142" s="29" t="n">
        <v>45868</v>
      </c>
      <c r="W142" s="18" t="s">
        <v>1167</v>
      </c>
      <c r="X142" s="18"/>
      <c r="Y142" s="18" t="s">
        <v>1168</v>
      </c>
      <c r="Z142" s="18" t="s">
        <v>149</v>
      </c>
      <c r="AA142" s="18" t="s">
        <v>1169</v>
      </c>
      <c r="AB142" s="18" t="s">
        <v>151</v>
      </c>
      <c r="AC142" s="18"/>
    </row>
    <row r="143" customFormat="false" ht="30" hidden="false" customHeight="true" outlineLevel="0" collapsed="false">
      <c r="A143" s="18" t="s">
        <v>1163</v>
      </c>
      <c r="B143" s="19" t="n">
        <v>1</v>
      </c>
      <c r="C143" s="20" t="str">
        <f aca="false">IF(L143="","C",IF(L143&gt;=Lists!$I$2,"A",IF(L143&gt;=Lists!$I$3,"B","C")))</f>
        <v>A</v>
      </c>
      <c r="D143" s="21" t="s">
        <v>97</v>
      </c>
      <c r="E143" s="22" t="s">
        <v>1170</v>
      </c>
      <c r="F143" s="18" t="s">
        <v>1171</v>
      </c>
      <c r="G143" s="23" t="s">
        <v>1172</v>
      </c>
      <c r="H143" s="23" t="s">
        <v>1173</v>
      </c>
      <c r="I143" s="21" t="s">
        <v>526</v>
      </c>
      <c r="J143" s="18" t="s">
        <v>182</v>
      </c>
      <c r="K143" s="18" t="s">
        <v>43</v>
      </c>
      <c r="L143" s="24" t="n">
        <v>500000</v>
      </c>
      <c r="M143" s="19" t="n">
        <f aca="false">IF(G143="To be found",COUNTIF($E$2:$E$9999,E143),COUNTIF($G$2:$G$9999,G143))</f>
        <v>1</v>
      </c>
      <c r="N143" s="25"/>
      <c r="O143" s="25" t="s">
        <v>8</v>
      </c>
      <c r="P143" s="26" t="n">
        <v>0</v>
      </c>
      <c r="Q143" s="27"/>
      <c r="R143" s="25"/>
      <c r="S143" s="27"/>
      <c r="T143" s="28"/>
      <c r="U143" s="18" t="s">
        <v>1166</v>
      </c>
      <c r="V143" s="29" t="n">
        <v>45868</v>
      </c>
      <c r="W143" s="18" t="s">
        <v>1174</v>
      </c>
      <c r="X143" s="23" t="s">
        <v>1175</v>
      </c>
      <c r="Y143" s="18" t="s">
        <v>1168</v>
      </c>
      <c r="Z143" s="18" t="s">
        <v>149</v>
      </c>
      <c r="AA143" s="18" t="s">
        <v>1169</v>
      </c>
      <c r="AB143" s="18" t="s">
        <v>151</v>
      </c>
      <c r="AC143" s="18"/>
    </row>
    <row r="144" customFormat="false" ht="30" hidden="false" customHeight="true" outlineLevel="0" collapsed="false">
      <c r="A144" s="18" t="s">
        <v>1163</v>
      </c>
      <c r="B144" s="19" t="n">
        <v>2</v>
      </c>
      <c r="C144" s="20" t="str">
        <f aca="false">IF(L144="","C",IF(L144&gt;=Lists!$I$2,"A",IF(L144&gt;=Lists!$I$3,"B","C")))</f>
        <v>B</v>
      </c>
      <c r="D144" s="21" t="s">
        <v>137</v>
      </c>
      <c r="E144" s="22" t="s">
        <v>385</v>
      </c>
      <c r="F144" s="18"/>
      <c r="G144" s="23" t="s">
        <v>386</v>
      </c>
      <c r="H144" s="18"/>
      <c r="I144" s="21" t="s">
        <v>1176</v>
      </c>
      <c r="J144" s="18" t="s">
        <v>143</v>
      </c>
      <c r="K144" s="18" t="s">
        <v>43</v>
      </c>
      <c r="L144" s="24" t="n">
        <v>150000</v>
      </c>
      <c r="M144" s="19" t="n">
        <f aca="false">IF(G144="To be found",COUNTIF($E$2:$E$9999,E144),COUNTIF($G$2:$G$9999,G144))</f>
        <v>3</v>
      </c>
      <c r="N144" s="25"/>
      <c r="O144" s="25" t="s">
        <v>8</v>
      </c>
      <c r="P144" s="26" t="n">
        <v>0</v>
      </c>
      <c r="Q144" s="27"/>
      <c r="R144" s="25"/>
      <c r="S144" s="27"/>
      <c r="T144" s="28"/>
      <c r="U144" s="18" t="s">
        <v>1177</v>
      </c>
      <c r="V144" s="29" t="n">
        <v>45869</v>
      </c>
      <c r="W144" s="18" t="s">
        <v>389</v>
      </c>
      <c r="X144" s="23" t="s">
        <v>390</v>
      </c>
      <c r="Y144" s="18" t="s">
        <v>389</v>
      </c>
      <c r="Z144" s="18" t="s">
        <v>149</v>
      </c>
      <c r="AA144" s="18" t="s">
        <v>1178</v>
      </c>
      <c r="AB144" s="18" t="s">
        <v>151</v>
      </c>
      <c r="AC144" s="18"/>
    </row>
    <row r="145" customFormat="false" ht="30" hidden="false" customHeight="true" outlineLevel="0" collapsed="false">
      <c r="A145" s="18" t="s">
        <v>1163</v>
      </c>
      <c r="B145" s="19" t="n">
        <v>2</v>
      </c>
      <c r="C145" s="20" t="str">
        <f aca="false">IF(L145="","C",IF(L145&gt;=Lists!$I$2,"A",IF(L145&gt;=Lists!$I$3,"B","C")))</f>
        <v>B</v>
      </c>
      <c r="D145" s="21" t="s">
        <v>97</v>
      </c>
      <c r="E145" s="22" t="s">
        <v>391</v>
      </c>
      <c r="F145" s="18" t="s">
        <v>392</v>
      </c>
      <c r="G145" s="23" t="s">
        <v>393</v>
      </c>
      <c r="H145" s="23" t="s">
        <v>394</v>
      </c>
      <c r="I145" s="21" t="s">
        <v>1176</v>
      </c>
      <c r="J145" s="18" t="s">
        <v>143</v>
      </c>
      <c r="K145" s="18" t="s">
        <v>43</v>
      </c>
      <c r="L145" s="24" t="n">
        <v>150000</v>
      </c>
      <c r="M145" s="19" t="n">
        <f aca="false">IF(G145="To be found",COUNTIF($E$2:$E$9999,E145),COUNTIF($G$2:$G$9999,G145))</f>
        <v>2</v>
      </c>
      <c r="N145" s="25"/>
      <c r="O145" s="25" t="s">
        <v>8</v>
      </c>
      <c r="P145" s="26" t="n">
        <v>0</v>
      </c>
      <c r="Q145" s="27"/>
      <c r="R145" s="25"/>
      <c r="S145" s="27"/>
      <c r="T145" s="28"/>
      <c r="U145" s="18" t="s">
        <v>1177</v>
      </c>
      <c r="V145" s="29" t="n">
        <v>45869</v>
      </c>
      <c r="W145" s="18" t="s">
        <v>395</v>
      </c>
      <c r="X145" s="23" t="s">
        <v>396</v>
      </c>
      <c r="Y145" s="18" t="s">
        <v>389</v>
      </c>
      <c r="Z145" s="18" t="s">
        <v>149</v>
      </c>
      <c r="AA145" s="18" t="s">
        <v>1178</v>
      </c>
      <c r="AB145" s="18" t="s">
        <v>151</v>
      </c>
      <c r="AC145" s="18"/>
    </row>
    <row r="146" customFormat="false" ht="30" hidden="false" customHeight="true" outlineLevel="0" collapsed="false">
      <c r="A146" s="18" t="s">
        <v>1163</v>
      </c>
      <c r="B146" s="19" t="n">
        <v>3</v>
      </c>
      <c r="C146" s="20" t="str">
        <f aca="false">IF(L146="","C",IF(L146&gt;=Lists!$I$2,"A",IF(L146&gt;=Lists!$I$3,"B","C")))</f>
        <v>B</v>
      </c>
      <c r="D146" s="21" t="s">
        <v>137</v>
      </c>
      <c r="E146" s="22" t="s">
        <v>1179</v>
      </c>
      <c r="F146" s="18" t="s">
        <v>1180</v>
      </c>
      <c r="G146" s="23" t="s">
        <v>1181</v>
      </c>
      <c r="H146" s="18"/>
      <c r="I146" s="21" t="s">
        <v>1182</v>
      </c>
      <c r="J146" s="18" t="s">
        <v>1094</v>
      </c>
      <c r="K146" s="18" t="s">
        <v>42</v>
      </c>
      <c r="L146" s="24" t="n">
        <v>100000</v>
      </c>
      <c r="M146" s="19" t="n">
        <f aca="false">IF(G146="To be found",COUNTIF($E$2:$E$9999,E146),COUNTIF($G$2:$G$9999,G146))</f>
        <v>1</v>
      </c>
      <c r="N146" s="25"/>
      <c r="O146" s="25" t="s">
        <v>8</v>
      </c>
      <c r="P146" s="26" t="n">
        <v>0</v>
      </c>
      <c r="Q146" s="27"/>
      <c r="R146" s="25"/>
      <c r="S146" s="27"/>
      <c r="T146" s="28"/>
      <c r="U146" s="18" t="s">
        <v>1183</v>
      </c>
      <c r="V146" s="29" t="n">
        <v>45867</v>
      </c>
      <c r="W146" s="18" t="s">
        <v>1184</v>
      </c>
      <c r="X146" s="23" t="s">
        <v>1185</v>
      </c>
      <c r="Y146" s="18" t="s">
        <v>1186</v>
      </c>
      <c r="Z146" s="18" t="s">
        <v>229</v>
      </c>
      <c r="AA146" s="18" t="s">
        <v>1187</v>
      </c>
      <c r="AB146" s="18" t="s">
        <v>151</v>
      </c>
      <c r="AC146" s="18"/>
    </row>
    <row r="147" customFormat="false" ht="30" hidden="false" customHeight="true" outlineLevel="0" collapsed="false">
      <c r="A147" s="18" t="s">
        <v>1163</v>
      </c>
      <c r="B147" s="19" t="n">
        <v>3</v>
      </c>
      <c r="C147" s="20" t="str">
        <f aca="false">IF(L147="","C",IF(L147&gt;=Lists!$I$2,"A",IF(L147&gt;=Lists!$I$3,"B","C")))</f>
        <v>B</v>
      </c>
      <c r="D147" s="21" t="s">
        <v>97</v>
      </c>
      <c r="E147" s="22" t="s">
        <v>1188</v>
      </c>
      <c r="F147" s="18" t="s">
        <v>1189</v>
      </c>
      <c r="G147" s="23" t="s">
        <v>1190</v>
      </c>
      <c r="H147" s="23" t="s">
        <v>1191</v>
      </c>
      <c r="I147" s="21" t="s">
        <v>1182</v>
      </c>
      <c r="J147" s="18" t="s">
        <v>1094</v>
      </c>
      <c r="K147" s="18" t="s">
        <v>42</v>
      </c>
      <c r="L147" s="24" t="n">
        <v>100000</v>
      </c>
      <c r="M147" s="19" t="n">
        <f aca="false">IF(G147="To be found",COUNTIF($E$2:$E$9999,E147),COUNTIF($G$2:$G$9999,G147))</f>
        <v>1</v>
      </c>
      <c r="N147" s="25"/>
      <c r="O147" s="25" t="s">
        <v>8</v>
      </c>
      <c r="P147" s="26" t="n">
        <v>0</v>
      </c>
      <c r="Q147" s="27"/>
      <c r="R147" s="25"/>
      <c r="S147" s="27"/>
      <c r="T147" s="28"/>
      <c r="U147" s="18" t="s">
        <v>1183</v>
      </c>
      <c r="V147" s="29" t="n">
        <v>45867</v>
      </c>
      <c r="W147" s="18" t="s">
        <v>1192</v>
      </c>
      <c r="X147" s="23" t="s">
        <v>1193</v>
      </c>
      <c r="Y147" s="18" t="s">
        <v>1186</v>
      </c>
      <c r="Z147" s="18" t="s">
        <v>229</v>
      </c>
      <c r="AA147" s="18" t="s">
        <v>1187</v>
      </c>
      <c r="AB147" s="18" t="s">
        <v>151</v>
      </c>
      <c r="AC147" s="18"/>
    </row>
    <row r="148" customFormat="false" ht="30" hidden="false" customHeight="true" outlineLevel="0" collapsed="false">
      <c r="A148" s="18" t="s">
        <v>1194</v>
      </c>
      <c r="B148" s="19" t="n">
        <v>1</v>
      </c>
      <c r="C148" s="20" t="str">
        <f aca="false">IF(L148="","C",IF(L148&gt;=Lists!$I$2,"A",IF(L148&gt;=Lists!$I$3,"B","C")))</f>
        <v>B</v>
      </c>
      <c r="D148" s="21" t="s">
        <v>137</v>
      </c>
      <c r="E148" s="22" t="s">
        <v>1195</v>
      </c>
      <c r="F148" s="18"/>
      <c r="G148" s="23" t="s">
        <v>1196</v>
      </c>
      <c r="H148" s="23" t="s">
        <v>1197</v>
      </c>
      <c r="I148" s="21" t="s">
        <v>1198</v>
      </c>
      <c r="J148" s="18" t="s">
        <v>569</v>
      </c>
      <c r="K148" s="18" t="s">
        <v>43</v>
      </c>
      <c r="L148" s="24" t="n">
        <v>100000</v>
      </c>
      <c r="M148" s="19" t="n">
        <f aca="false">IF(G148="To be found",COUNTIF($E$2:$E$9999,E148),COUNTIF($G$2:$G$9999,G148))</f>
        <v>1</v>
      </c>
      <c r="N148" s="25"/>
      <c r="O148" s="25" t="s">
        <v>8</v>
      </c>
      <c r="P148" s="26" t="n">
        <v>0</v>
      </c>
      <c r="Q148" s="27"/>
      <c r="R148" s="25"/>
      <c r="S148" s="27"/>
      <c r="T148" s="28"/>
      <c r="U148" s="18" t="s">
        <v>1199</v>
      </c>
      <c r="V148" s="29" t="n">
        <v>46056</v>
      </c>
      <c r="W148" s="18" t="s">
        <v>1200</v>
      </c>
      <c r="X148" s="23" t="s">
        <v>1201</v>
      </c>
      <c r="Y148" s="18" t="s">
        <v>1200</v>
      </c>
      <c r="Z148" s="18" t="s">
        <v>149</v>
      </c>
      <c r="AA148" s="18" t="s">
        <v>1202</v>
      </c>
      <c r="AB148" s="18" t="s">
        <v>151</v>
      </c>
      <c r="AC148" s="18"/>
    </row>
    <row r="149" customFormat="false" ht="30" hidden="false" customHeight="true" outlineLevel="0" collapsed="false">
      <c r="A149" s="18" t="s">
        <v>1194</v>
      </c>
      <c r="B149" s="19" t="n">
        <v>1</v>
      </c>
      <c r="C149" s="20" t="str">
        <f aca="false">IF(L149="","C",IF(L149&gt;=Lists!$I$2,"A",IF(L149&gt;=Lists!$I$3,"B","C")))</f>
        <v>B</v>
      </c>
      <c r="D149" s="21" t="s">
        <v>97</v>
      </c>
      <c r="E149" s="22" t="s">
        <v>1203</v>
      </c>
      <c r="F149" s="18" t="s">
        <v>1204</v>
      </c>
      <c r="G149" s="23" t="s">
        <v>1205</v>
      </c>
      <c r="H149" s="23" t="s">
        <v>1206</v>
      </c>
      <c r="I149" s="21" t="s">
        <v>1198</v>
      </c>
      <c r="J149" s="18" t="s">
        <v>569</v>
      </c>
      <c r="K149" s="18" t="s">
        <v>43</v>
      </c>
      <c r="L149" s="24" t="n">
        <v>100000</v>
      </c>
      <c r="M149" s="19" t="n">
        <f aca="false">IF(G149="To be found",COUNTIF($E$2:$E$9999,E149),COUNTIF($G$2:$G$9999,G149))</f>
        <v>1</v>
      </c>
      <c r="N149" s="25"/>
      <c r="O149" s="25" t="s">
        <v>8</v>
      </c>
      <c r="P149" s="26" t="n">
        <v>0</v>
      </c>
      <c r="Q149" s="27"/>
      <c r="R149" s="25"/>
      <c r="S149" s="27"/>
      <c r="T149" s="28"/>
      <c r="U149" s="18" t="s">
        <v>1199</v>
      </c>
      <c r="V149" s="29" t="n">
        <v>46056</v>
      </c>
      <c r="W149" s="18" t="s">
        <v>1207</v>
      </c>
      <c r="X149" s="23" t="s">
        <v>1208</v>
      </c>
      <c r="Y149" s="18" t="s">
        <v>1200</v>
      </c>
      <c r="Z149" s="18" t="s">
        <v>149</v>
      </c>
      <c r="AA149" s="18" t="s">
        <v>1202</v>
      </c>
      <c r="AB149" s="18" t="s">
        <v>151</v>
      </c>
      <c r="AC149" s="18"/>
    </row>
    <row r="150" customFormat="false" ht="30" hidden="false" customHeight="true" outlineLevel="0" collapsed="false">
      <c r="A150" s="18" t="s">
        <v>1209</v>
      </c>
      <c r="B150" s="19" t="n">
        <v>1</v>
      </c>
      <c r="C150" s="20" t="str">
        <f aca="false">IF(L150="","C",IF(L150&gt;=Lists!$I$2,"A",IF(L150&gt;=Lists!$I$3,"B","C")))</f>
        <v>C</v>
      </c>
      <c r="D150" s="21" t="s">
        <v>137</v>
      </c>
      <c r="E150" s="22" t="s">
        <v>398</v>
      </c>
      <c r="F150" s="18" t="s">
        <v>864</v>
      </c>
      <c r="G150" s="23" t="s">
        <v>377</v>
      </c>
      <c r="H150" s="23" t="s">
        <v>378</v>
      </c>
      <c r="I150" s="21" t="s">
        <v>1210</v>
      </c>
      <c r="J150" s="18" t="s">
        <v>569</v>
      </c>
      <c r="K150" s="18" t="s">
        <v>43</v>
      </c>
      <c r="L150" s="24" t="n">
        <v>80000</v>
      </c>
      <c r="M150" s="19" t="n">
        <f aca="false">IF(G150="To be found",COUNTIF($E$2:$E$9999,E150),COUNTIF($G$2:$G$9999,G150))</f>
        <v>5</v>
      </c>
      <c r="N150" s="25"/>
      <c r="O150" s="25" t="s">
        <v>8</v>
      </c>
      <c r="P150" s="26" t="n">
        <v>0</v>
      </c>
      <c r="Q150" s="27"/>
      <c r="R150" s="25"/>
      <c r="S150" s="27"/>
      <c r="T150" s="28"/>
      <c r="U150" s="18" t="s">
        <v>1211</v>
      </c>
      <c r="V150" s="29" t="n">
        <v>45873</v>
      </c>
      <c r="W150" s="18" t="s">
        <v>402</v>
      </c>
      <c r="X150" s="23" t="s">
        <v>372</v>
      </c>
      <c r="Y150" s="18" t="s">
        <v>1212</v>
      </c>
      <c r="Z150" s="18" t="s">
        <v>254</v>
      </c>
      <c r="AA150" s="18" t="s">
        <v>1213</v>
      </c>
      <c r="AB150" s="18" t="s">
        <v>151</v>
      </c>
      <c r="AC150" s="18"/>
    </row>
    <row r="151" customFormat="false" ht="30" hidden="false" customHeight="true" outlineLevel="0" collapsed="false">
      <c r="A151" s="18" t="s">
        <v>1209</v>
      </c>
      <c r="B151" s="19" t="n">
        <v>1</v>
      </c>
      <c r="C151" s="20" t="str">
        <f aca="false">IF(L151="","C",IF(L151&gt;=Lists!$I$2,"A",IF(L151&gt;=Lists!$I$3,"B","C")))</f>
        <v>C</v>
      </c>
      <c r="D151" s="21" t="s">
        <v>97</v>
      </c>
      <c r="E151" s="22" t="s">
        <v>1214</v>
      </c>
      <c r="F151" s="18" t="s">
        <v>1215</v>
      </c>
      <c r="G151" s="23" t="s">
        <v>1216</v>
      </c>
      <c r="H151" s="23" t="s">
        <v>1217</v>
      </c>
      <c r="I151" s="21" t="s">
        <v>1210</v>
      </c>
      <c r="J151" s="18" t="s">
        <v>569</v>
      </c>
      <c r="K151" s="18" t="s">
        <v>43</v>
      </c>
      <c r="L151" s="24" t="n">
        <v>80000</v>
      </c>
      <c r="M151" s="19" t="n">
        <f aca="false">IF(G151="To be found",COUNTIF($E$2:$E$9999,E151),COUNTIF($G$2:$G$9999,G151))</f>
        <v>1</v>
      </c>
      <c r="N151" s="25"/>
      <c r="O151" s="25" t="s">
        <v>8</v>
      </c>
      <c r="P151" s="26" t="n">
        <v>0</v>
      </c>
      <c r="Q151" s="27"/>
      <c r="R151" s="25"/>
      <c r="S151" s="27"/>
      <c r="T151" s="28"/>
      <c r="U151" s="18" t="s">
        <v>1211</v>
      </c>
      <c r="V151" s="29" t="n">
        <v>45873</v>
      </c>
      <c r="W151" s="18" t="s">
        <v>1218</v>
      </c>
      <c r="X151" s="23" t="s">
        <v>1219</v>
      </c>
      <c r="Y151" s="18" t="s">
        <v>1212</v>
      </c>
      <c r="Z151" s="18" t="s">
        <v>254</v>
      </c>
      <c r="AA151" s="18" t="s">
        <v>1213</v>
      </c>
      <c r="AB151" s="18" t="s">
        <v>151</v>
      </c>
      <c r="AC151" s="18"/>
    </row>
    <row r="152" customFormat="false" ht="30" hidden="false" customHeight="true" outlineLevel="0" collapsed="false">
      <c r="A152" s="18" t="s">
        <v>1209</v>
      </c>
      <c r="B152" s="19" t="n">
        <v>2</v>
      </c>
      <c r="C152" s="20" t="str">
        <f aca="false">IF(L152="","C",IF(L152&gt;=Lists!$I$2,"A",IF(L152&gt;=Lists!$I$3,"B","C")))</f>
        <v>B</v>
      </c>
      <c r="D152" s="21" t="s">
        <v>137</v>
      </c>
      <c r="E152" s="22" t="s">
        <v>1220</v>
      </c>
      <c r="F152" s="18" t="s">
        <v>1221</v>
      </c>
      <c r="G152" s="23" t="s">
        <v>1222</v>
      </c>
      <c r="H152" s="23" t="s">
        <v>1223</v>
      </c>
      <c r="I152" s="21" t="s">
        <v>1224</v>
      </c>
      <c r="J152" s="18" t="s">
        <v>161</v>
      </c>
      <c r="K152" s="18" t="s">
        <v>43</v>
      </c>
      <c r="L152" s="24" t="n">
        <v>200000</v>
      </c>
      <c r="M152" s="19" t="n">
        <f aca="false">IF(G152="To be found",COUNTIF($E$2:$E$9999,E152),COUNTIF($G$2:$G$9999,G152))</f>
        <v>1</v>
      </c>
      <c r="N152" s="25"/>
      <c r="O152" s="25" t="s">
        <v>8</v>
      </c>
      <c r="P152" s="26" t="n">
        <v>0</v>
      </c>
      <c r="Q152" s="27"/>
      <c r="R152" s="25"/>
      <c r="S152" s="27"/>
      <c r="T152" s="28"/>
      <c r="U152" s="18" t="s">
        <v>1225</v>
      </c>
      <c r="V152" s="29" t="n">
        <v>45873</v>
      </c>
      <c r="W152" s="18" t="s">
        <v>166</v>
      </c>
      <c r="X152" s="23" t="s">
        <v>1226</v>
      </c>
      <c r="Y152" s="18" t="s">
        <v>166</v>
      </c>
      <c r="Z152" s="18" t="s">
        <v>149</v>
      </c>
      <c r="AA152" s="18" t="s">
        <v>1227</v>
      </c>
      <c r="AB152" s="18" t="s">
        <v>151</v>
      </c>
      <c r="AC152" s="18"/>
    </row>
    <row r="153" customFormat="false" ht="30" hidden="false" customHeight="true" outlineLevel="0" collapsed="false">
      <c r="A153" s="18" t="s">
        <v>1209</v>
      </c>
      <c r="B153" s="19" t="n">
        <v>2</v>
      </c>
      <c r="C153" s="20" t="str">
        <f aca="false">IF(L153="","C",IF(L153&gt;=Lists!$I$2,"A",IF(L153&gt;=Lists!$I$3,"B","C")))</f>
        <v>B</v>
      </c>
      <c r="D153" s="21" t="s">
        <v>97</v>
      </c>
      <c r="E153" s="22" t="s">
        <v>1228</v>
      </c>
      <c r="F153" s="18" t="s">
        <v>1229</v>
      </c>
      <c r="G153" s="23" t="s">
        <v>1230</v>
      </c>
      <c r="H153" s="23" t="s">
        <v>1231</v>
      </c>
      <c r="I153" s="21" t="s">
        <v>1224</v>
      </c>
      <c r="J153" s="18" t="s">
        <v>161</v>
      </c>
      <c r="K153" s="18" t="s">
        <v>43</v>
      </c>
      <c r="L153" s="24" t="n">
        <v>200000</v>
      </c>
      <c r="M153" s="19" t="n">
        <f aca="false">IF(G153="To be found",COUNTIF($E$2:$E$9999,E153),COUNTIF($G$2:$G$9999,G153))</f>
        <v>1</v>
      </c>
      <c r="N153" s="25"/>
      <c r="O153" s="25" t="s">
        <v>8</v>
      </c>
      <c r="P153" s="26" t="n">
        <v>0</v>
      </c>
      <c r="Q153" s="27"/>
      <c r="R153" s="25"/>
      <c r="S153" s="27"/>
      <c r="T153" s="28"/>
      <c r="U153" s="18" t="s">
        <v>1225</v>
      </c>
      <c r="V153" s="29" t="n">
        <v>45873</v>
      </c>
      <c r="W153" s="18" t="s">
        <v>1232</v>
      </c>
      <c r="X153" s="23" t="s">
        <v>1233</v>
      </c>
      <c r="Y153" s="18" t="s">
        <v>166</v>
      </c>
      <c r="Z153" s="18" t="s">
        <v>149</v>
      </c>
      <c r="AA153" s="18" t="s">
        <v>1227</v>
      </c>
      <c r="AB153" s="18" t="s">
        <v>151</v>
      </c>
      <c r="AC153" s="18"/>
    </row>
    <row r="154" customFormat="false" ht="30" hidden="false" customHeight="true" outlineLevel="0" collapsed="false">
      <c r="A154" s="18" t="s">
        <v>1209</v>
      </c>
      <c r="B154" s="19" t="n">
        <v>3</v>
      </c>
      <c r="C154" s="20" t="str">
        <f aca="false">IF(L154="","C",IF(L154&gt;=Lists!$I$2,"A",IF(L154&gt;=Lists!$I$3,"B","C")))</f>
        <v>A</v>
      </c>
      <c r="D154" s="21" t="s">
        <v>137</v>
      </c>
      <c r="E154" s="22" t="s">
        <v>1234</v>
      </c>
      <c r="F154" s="18"/>
      <c r="G154" s="23" t="s">
        <v>1235</v>
      </c>
      <c r="H154" s="23" t="s">
        <v>1236</v>
      </c>
      <c r="I154" s="21" t="s">
        <v>1237</v>
      </c>
      <c r="J154" s="18" t="s">
        <v>460</v>
      </c>
      <c r="K154" s="18" t="s">
        <v>43</v>
      </c>
      <c r="L154" s="24" t="n">
        <v>20000000</v>
      </c>
      <c r="M154" s="19" t="n">
        <f aca="false">IF(G154="To be found",COUNTIF($E$2:$E$9999,E154),COUNTIF($G$2:$G$9999,G154))</f>
        <v>1</v>
      </c>
      <c r="N154" s="25"/>
      <c r="O154" s="25" t="s">
        <v>8</v>
      </c>
      <c r="P154" s="26" t="n">
        <v>0</v>
      </c>
      <c r="Q154" s="27"/>
      <c r="R154" s="25"/>
      <c r="S154" s="27"/>
      <c r="T154" s="28"/>
      <c r="U154" s="18" t="s">
        <v>1238</v>
      </c>
      <c r="V154" s="29" t="n">
        <v>45831</v>
      </c>
      <c r="W154" s="18" t="s">
        <v>1239</v>
      </c>
      <c r="X154" s="23" t="s">
        <v>1240</v>
      </c>
      <c r="Y154" s="18" t="s">
        <v>1241</v>
      </c>
      <c r="Z154" s="18" t="s">
        <v>254</v>
      </c>
      <c r="AA154" s="18" t="s">
        <v>1242</v>
      </c>
      <c r="AB154" s="18" t="s">
        <v>151</v>
      </c>
      <c r="AC154" s="18"/>
    </row>
    <row r="155" customFormat="false" ht="30" hidden="false" customHeight="true" outlineLevel="0" collapsed="false">
      <c r="A155" s="18" t="s">
        <v>1209</v>
      </c>
      <c r="B155" s="19" t="n">
        <v>3</v>
      </c>
      <c r="C155" s="20" t="str">
        <f aca="false">IF(L155="","C",IF(L155&gt;=Lists!$I$2,"A",IF(L155&gt;=Lists!$I$3,"B","C")))</f>
        <v>A</v>
      </c>
      <c r="D155" s="21" t="s">
        <v>137</v>
      </c>
      <c r="E155" s="22" t="s">
        <v>1243</v>
      </c>
      <c r="F155" s="18"/>
      <c r="G155" s="23" t="s">
        <v>1244</v>
      </c>
      <c r="H155" s="18"/>
      <c r="I155" s="21" t="s">
        <v>1237</v>
      </c>
      <c r="J155" s="18" t="s">
        <v>460</v>
      </c>
      <c r="K155" s="18" t="s">
        <v>43</v>
      </c>
      <c r="L155" s="24" t="n">
        <v>20000000</v>
      </c>
      <c r="M155" s="19" t="n">
        <f aca="false">IF(G155="To be found",COUNTIF($E$2:$E$9999,E155),COUNTIF($G$2:$G$9999,G155))</f>
        <v>1</v>
      </c>
      <c r="N155" s="25"/>
      <c r="O155" s="25" t="s">
        <v>8</v>
      </c>
      <c r="P155" s="26" t="n">
        <v>0</v>
      </c>
      <c r="Q155" s="27"/>
      <c r="R155" s="25"/>
      <c r="S155" s="27"/>
      <c r="T155" s="28"/>
      <c r="U155" s="18" t="s">
        <v>1238</v>
      </c>
      <c r="V155" s="29" t="n">
        <v>45831</v>
      </c>
      <c r="W155" s="18"/>
      <c r="X155" s="18"/>
      <c r="Y155" s="18" t="s">
        <v>1241</v>
      </c>
      <c r="Z155" s="18" t="s">
        <v>254</v>
      </c>
      <c r="AA155" s="18" t="s">
        <v>1242</v>
      </c>
      <c r="AB155" s="18" t="s">
        <v>112</v>
      </c>
      <c r="AC155" s="18"/>
    </row>
    <row r="156" customFormat="false" ht="30" hidden="false" customHeight="true" outlineLevel="0" collapsed="false">
      <c r="A156" s="18" t="s">
        <v>1209</v>
      </c>
      <c r="B156" s="19" t="n">
        <v>3</v>
      </c>
      <c r="C156" s="20" t="str">
        <f aca="false">IF(L156="","C",IF(L156&gt;=Lists!$I$2,"A",IF(L156&gt;=Lists!$I$3,"B","C")))</f>
        <v>A</v>
      </c>
      <c r="D156" s="21" t="s">
        <v>97</v>
      </c>
      <c r="E156" s="22" t="s">
        <v>1245</v>
      </c>
      <c r="F156" s="18" t="s">
        <v>1246</v>
      </c>
      <c r="G156" s="23" t="s">
        <v>1247</v>
      </c>
      <c r="H156" s="23" t="s">
        <v>1248</v>
      </c>
      <c r="I156" s="21" t="s">
        <v>1237</v>
      </c>
      <c r="J156" s="18" t="s">
        <v>460</v>
      </c>
      <c r="K156" s="18" t="s">
        <v>43</v>
      </c>
      <c r="L156" s="24" t="n">
        <v>20000000</v>
      </c>
      <c r="M156" s="19" t="n">
        <f aca="false">IF(G156="To be found",COUNTIF($E$2:$E$9999,E156),COUNTIF($G$2:$G$9999,G156))</f>
        <v>1</v>
      </c>
      <c r="N156" s="25"/>
      <c r="O156" s="25" t="s">
        <v>8</v>
      </c>
      <c r="P156" s="26" t="n">
        <v>0</v>
      </c>
      <c r="Q156" s="27"/>
      <c r="R156" s="25"/>
      <c r="S156" s="27"/>
      <c r="T156" s="28"/>
      <c r="U156" s="18" t="s">
        <v>1238</v>
      </c>
      <c r="V156" s="29" t="n">
        <v>45831</v>
      </c>
      <c r="W156" s="18" t="s">
        <v>1249</v>
      </c>
      <c r="X156" s="23" t="s">
        <v>1250</v>
      </c>
      <c r="Y156" s="18" t="s">
        <v>1241</v>
      </c>
      <c r="Z156" s="18" t="s">
        <v>254</v>
      </c>
      <c r="AA156" s="18" t="s">
        <v>1242</v>
      </c>
      <c r="AB156" s="18" t="s">
        <v>151</v>
      </c>
      <c r="AC156" s="18"/>
    </row>
    <row r="157" customFormat="false" ht="30" hidden="false" customHeight="true" outlineLevel="0" collapsed="false">
      <c r="A157" s="18" t="s">
        <v>1209</v>
      </c>
      <c r="B157" s="19" t="n">
        <v>4</v>
      </c>
      <c r="C157" s="20" t="str">
        <f aca="false">IF(L157="","C",IF(L157&gt;=Lists!$I$2,"A",IF(L157&gt;=Lists!$I$3,"B","C")))</f>
        <v>C</v>
      </c>
      <c r="D157" s="21" t="s">
        <v>137</v>
      </c>
      <c r="E157" s="22" t="s">
        <v>547</v>
      </c>
      <c r="F157" s="18" t="s">
        <v>548</v>
      </c>
      <c r="G157" s="23" t="s">
        <v>549</v>
      </c>
      <c r="H157" s="23" t="s">
        <v>550</v>
      </c>
      <c r="I157" s="21" t="s">
        <v>1251</v>
      </c>
      <c r="J157" s="18" t="s">
        <v>552</v>
      </c>
      <c r="K157" s="18" t="s">
        <v>43</v>
      </c>
      <c r="L157" s="24" t="n">
        <v>70000</v>
      </c>
      <c r="M157" s="19" t="n">
        <f aca="false">IF(G157="To be found",COUNTIF($E$2:$E$9999,E157),COUNTIF($G$2:$G$9999,G157))</f>
        <v>2</v>
      </c>
      <c r="N157" s="25"/>
      <c r="O157" s="25" t="s">
        <v>8</v>
      </c>
      <c r="P157" s="26" t="n">
        <v>0</v>
      </c>
      <c r="Q157" s="27"/>
      <c r="R157" s="25"/>
      <c r="S157" s="27"/>
      <c r="T157" s="28"/>
      <c r="U157" s="18" t="s">
        <v>1252</v>
      </c>
      <c r="V157" s="29" t="n">
        <v>45873</v>
      </c>
      <c r="W157" s="18" t="s">
        <v>554</v>
      </c>
      <c r="X157" s="23" t="s">
        <v>555</v>
      </c>
      <c r="Y157" s="18" t="s">
        <v>1253</v>
      </c>
      <c r="Z157" s="18" t="s">
        <v>254</v>
      </c>
      <c r="AA157" s="18" t="s">
        <v>1254</v>
      </c>
      <c r="AB157" s="18" t="s">
        <v>151</v>
      </c>
      <c r="AC157" s="18"/>
    </row>
    <row r="158" customFormat="false" ht="30" hidden="false" customHeight="true" outlineLevel="0" collapsed="false">
      <c r="A158" s="18" t="s">
        <v>1209</v>
      </c>
      <c r="B158" s="19" t="n">
        <v>4</v>
      </c>
      <c r="C158" s="20" t="str">
        <f aca="false">IF(L158="","C",IF(L158&gt;=Lists!$I$2,"A",IF(L158&gt;=Lists!$I$3,"B","C")))</f>
        <v>C</v>
      </c>
      <c r="D158" s="21" t="s">
        <v>97</v>
      </c>
      <c r="E158" s="22" t="s">
        <v>558</v>
      </c>
      <c r="F158" s="18" t="s">
        <v>559</v>
      </c>
      <c r="G158" s="23" t="s">
        <v>560</v>
      </c>
      <c r="H158" s="23" t="s">
        <v>561</v>
      </c>
      <c r="I158" s="21" t="s">
        <v>1251</v>
      </c>
      <c r="J158" s="18" t="s">
        <v>552</v>
      </c>
      <c r="K158" s="18" t="s">
        <v>43</v>
      </c>
      <c r="L158" s="24" t="n">
        <v>70000</v>
      </c>
      <c r="M158" s="19" t="n">
        <f aca="false">IF(G158="To be found",COUNTIF($E$2:$E$9999,E158),COUNTIF($G$2:$G$9999,G158))</f>
        <v>2</v>
      </c>
      <c r="N158" s="25"/>
      <c r="O158" s="25" t="s">
        <v>8</v>
      </c>
      <c r="P158" s="26" t="n">
        <v>0</v>
      </c>
      <c r="Q158" s="27"/>
      <c r="R158" s="25"/>
      <c r="S158" s="27"/>
      <c r="T158" s="28"/>
      <c r="U158" s="18" t="s">
        <v>1252</v>
      </c>
      <c r="V158" s="29" t="n">
        <v>45873</v>
      </c>
      <c r="W158" s="18" t="s">
        <v>562</v>
      </c>
      <c r="X158" s="23" t="s">
        <v>563</v>
      </c>
      <c r="Y158" s="18" t="s">
        <v>1253</v>
      </c>
      <c r="Z158" s="18" t="s">
        <v>254</v>
      </c>
      <c r="AA158" s="18" t="s">
        <v>1254</v>
      </c>
      <c r="AB158" s="18" t="s">
        <v>151</v>
      </c>
      <c r="AC158" s="18"/>
    </row>
    <row r="159" customFormat="false" ht="30" hidden="false" customHeight="true" outlineLevel="0" collapsed="false">
      <c r="A159" s="18" t="s">
        <v>1255</v>
      </c>
      <c r="B159" s="19" t="n">
        <v>1</v>
      </c>
      <c r="C159" s="20" t="str">
        <f aca="false">IF(L159="","C",IF(L159&gt;=Lists!$I$2,"A",IF(L159&gt;=Lists!$I$3,"B","C")))</f>
        <v>C</v>
      </c>
      <c r="D159" s="21" t="s">
        <v>137</v>
      </c>
      <c r="E159" s="22" t="s">
        <v>1256</v>
      </c>
      <c r="F159" s="18" t="s">
        <v>1257</v>
      </c>
      <c r="G159" s="23" t="s">
        <v>1258</v>
      </c>
      <c r="H159" s="23" t="s">
        <v>1259</v>
      </c>
      <c r="I159" s="21" t="s">
        <v>961</v>
      </c>
      <c r="J159" s="18" t="s">
        <v>569</v>
      </c>
      <c r="K159" s="18" t="s">
        <v>43</v>
      </c>
      <c r="L159" s="24" t="n">
        <v>50000</v>
      </c>
      <c r="M159" s="19" t="n">
        <f aca="false">IF(G159="To be found",COUNTIF($E$2:$E$9999,E159),COUNTIF($G$2:$G$9999,G159))</f>
        <v>1</v>
      </c>
      <c r="N159" s="25"/>
      <c r="O159" s="25" t="s">
        <v>8</v>
      </c>
      <c r="P159" s="26" t="n">
        <v>0</v>
      </c>
      <c r="Q159" s="27"/>
      <c r="R159" s="25"/>
      <c r="S159" s="27"/>
      <c r="T159" s="28"/>
      <c r="U159" s="18" t="s">
        <v>1260</v>
      </c>
      <c r="V159" s="29" t="n">
        <v>45875</v>
      </c>
      <c r="W159" s="18" t="s">
        <v>1261</v>
      </c>
      <c r="X159" s="23" t="s">
        <v>1262</v>
      </c>
      <c r="Y159" s="18" t="s">
        <v>1263</v>
      </c>
      <c r="Z159" s="18" t="s">
        <v>149</v>
      </c>
      <c r="AA159" s="18" t="s">
        <v>1264</v>
      </c>
      <c r="AB159" s="18" t="s">
        <v>151</v>
      </c>
      <c r="AC159" s="18"/>
    </row>
    <row r="160" customFormat="false" ht="30" hidden="false" customHeight="true" outlineLevel="0" collapsed="false">
      <c r="A160" s="18" t="s">
        <v>1255</v>
      </c>
      <c r="B160" s="19" t="n">
        <v>1</v>
      </c>
      <c r="C160" s="20" t="str">
        <f aca="false">IF(L160="","C",IF(L160&gt;=Lists!$I$2,"A",IF(L160&gt;=Lists!$I$3,"B","C")))</f>
        <v>C</v>
      </c>
      <c r="D160" s="21" t="s">
        <v>97</v>
      </c>
      <c r="E160" s="22" t="s">
        <v>1265</v>
      </c>
      <c r="F160" s="18" t="s">
        <v>1266</v>
      </c>
      <c r="G160" s="23" t="s">
        <v>1267</v>
      </c>
      <c r="H160" s="18"/>
      <c r="I160" s="21" t="s">
        <v>961</v>
      </c>
      <c r="J160" s="18" t="s">
        <v>569</v>
      </c>
      <c r="K160" s="18" t="s">
        <v>43</v>
      </c>
      <c r="L160" s="24" t="n">
        <v>50000</v>
      </c>
      <c r="M160" s="19" t="n">
        <f aca="false">IF(G160="To be found",COUNTIF($E$2:$E$9999,E160),COUNTIF($G$2:$G$9999,G160))</f>
        <v>1</v>
      </c>
      <c r="N160" s="25"/>
      <c r="O160" s="25" t="s">
        <v>8</v>
      </c>
      <c r="P160" s="26" t="n">
        <v>0</v>
      </c>
      <c r="Q160" s="27"/>
      <c r="R160" s="25"/>
      <c r="S160" s="27"/>
      <c r="T160" s="28"/>
      <c r="U160" s="18" t="s">
        <v>1260</v>
      </c>
      <c r="V160" s="29" t="n">
        <v>45875</v>
      </c>
      <c r="W160" s="18" t="s">
        <v>1268</v>
      </c>
      <c r="X160" s="18"/>
      <c r="Y160" s="18" t="s">
        <v>1263</v>
      </c>
      <c r="Z160" s="18" t="s">
        <v>149</v>
      </c>
      <c r="AA160" s="18" t="s">
        <v>1264</v>
      </c>
      <c r="AB160" s="18" t="s">
        <v>151</v>
      </c>
      <c r="AC160" s="18"/>
    </row>
    <row r="161" customFormat="false" ht="30" hidden="false" customHeight="true" outlineLevel="0" collapsed="false">
      <c r="A161" s="18" t="s">
        <v>1255</v>
      </c>
      <c r="B161" s="19" t="n">
        <v>2</v>
      </c>
      <c r="C161" s="20" t="str">
        <f aca="false">IF(L161="","C",IF(L161&gt;=Lists!$I$2,"A",IF(L161&gt;=Lists!$I$3,"B","C")))</f>
        <v>C</v>
      </c>
      <c r="D161" s="21" t="s">
        <v>137</v>
      </c>
      <c r="E161" s="22" t="s">
        <v>1269</v>
      </c>
      <c r="F161" s="18" t="s">
        <v>1270</v>
      </c>
      <c r="G161" s="23" t="s">
        <v>1271</v>
      </c>
      <c r="H161" s="18"/>
      <c r="I161" s="21" t="s">
        <v>1272</v>
      </c>
      <c r="J161" s="18" t="s">
        <v>569</v>
      </c>
      <c r="K161" s="18" t="s">
        <v>43</v>
      </c>
      <c r="L161" s="24" t="n">
        <v>90000</v>
      </c>
      <c r="M161" s="19" t="n">
        <f aca="false">IF(G161="To be found",COUNTIF($E$2:$E$9999,E161),COUNTIF($G$2:$G$9999,G161))</f>
        <v>1</v>
      </c>
      <c r="N161" s="25"/>
      <c r="O161" s="25" t="s">
        <v>8</v>
      </c>
      <c r="P161" s="26" t="n">
        <v>0</v>
      </c>
      <c r="Q161" s="27"/>
      <c r="R161" s="25"/>
      <c r="S161" s="27"/>
      <c r="T161" s="28"/>
      <c r="U161" s="18" t="s">
        <v>1273</v>
      </c>
      <c r="V161" s="29" t="n">
        <v>45875</v>
      </c>
      <c r="W161" s="18" t="s">
        <v>1274</v>
      </c>
      <c r="X161" s="23" t="s">
        <v>1275</v>
      </c>
      <c r="Y161" s="18" t="s">
        <v>1276</v>
      </c>
      <c r="Z161" s="18" t="s">
        <v>149</v>
      </c>
      <c r="AA161" s="18" t="s">
        <v>1272</v>
      </c>
      <c r="AB161" s="18" t="s">
        <v>151</v>
      </c>
      <c r="AC161" s="18"/>
    </row>
    <row r="162" customFormat="false" ht="30" hidden="false" customHeight="true" outlineLevel="0" collapsed="false">
      <c r="A162" s="18" t="s">
        <v>1255</v>
      </c>
      <c r="B162" s="19" t="n">
        <v>2</v>
      </c>
      <c r="C162" s="20" t="str">
        <f aca="false">IF(L162="","C",IF(L162&gt;=Lists!$I$2,"A",IF(L162&gt;=Lists!$I$3,"B","C")))</f>
        <v>C</v>
      </c>
      <c r="D162" s="21" t="s">
        <v>97</v>
      </c>
      <c r="E162" s="22" t="s">
        <v>1277</v>
      </c>
      <c r="F162" s="18" t="s">
        <v>1278</v>
      </c>
      <c r="G162" s="23" t="s">
        <v>1279</v>
      </c>
      <c r="H162" s="23" t="s">
        <v>1280</v>
      </c>
      <c r="I162" s="21" t="s">
        <v>1272</v>
      </c>
      <c r="J162" s="18" t="s">
        <v>569</v>
      </c>
      <c r="K162" s="18" t="s">
        <v>43</v>
      </c>
      <c r="L162" s="24" t="n">
        <v>90000</v>
      </c>
      <c r="M162" s="19" t="n">
        <f aca="false">IF(G162="To be found",COUNTIF($E$2:$E$9999,E162),COUNTIF($G$2:$G$9999,G162))</f>
        <v>1</v>
      </c>
      <c r="N162" s="25"/>
      <c r="O162" s="25" t="s">
        <v>8</v>
      </c>
      <c r="P162" s="26" t="n">
        <v>0</v>
      </c>
      <c r="Q162" s="27"/>
      <c r="R162" s="25"/>
      <c r="S162" s="27"/>
      <c r="T162" s="28"/>
      <c r="U162" s="18" t="s">
        <v>1273</v>
      </c>
      <c r="V162" s="29" t="n">
        <v>45875</v>
      </c>
      <c r="W162" s="18" t="s">
        <v>1281</v>
      </c>
      <c r="X162" s="23" t="s">
        <v>1282</v>
      </c>
      <c r="Y162" s="18" t="s">
        <v>1276</v>
      </c>
      <c r="Z162" s="18" t="s">
        <v>149</v>
      </c>
      <c r="AA162" s="18" t="s">
        <v>1272</v>
      </c>
      <c r="AB162" s="18" t="s">
        <v>151</v>
      </c>
      <c r="AC162" s="18"/>
    </row>
    <row r="163" customFormat="false" ht="30" hidden="false" customHeight="true" outlineLevel="0" collapsed="false">
      <c r="A163" s="18" t="s">
        <v>1283</v>
      </c>
      <c r="B163" s="19" t="n">
        <v>1</v>
      </c>
      <c r="C163" s="20" t="str">
        <f aca="false">IF(L163="","C",IF(L163&gt;=Lists!$I$2,"A",IF(L163&gt;=Lists!$I$3,"B","C")))</f>
        <v>C</v>
      </c>
      <c r="D163" s="21" t="s">
        <v>137</v>
      </c>
      <c r="E163" s="22" t="s">
        <v>670</v>
      </c>
      <c r="F163" s="18" t="s">
        <v>1284</v>
      </c>
      <c r="G163" s="23" t="s">
        <v>672</v>
      </c>
      <c r="H163" s="23" t="s">
        <v>673</v>
      </c>
      <c r="I163" s="21" t="s">
        <v>181</v>
      </c>
      <c r="J163" s="18" t="s">
        <v>1024</v>
      </c>
      <c r="K163" s="18" t="s">
        <v>43</v>
      </c>
      <c r="L163" s="24" t="n">
        <v>50000</v>
      </c>
      <c r="M163" s="19" t="n">
        <f aca="false">IF(G163="To be found",COUNTIF($E$2:$E$9999,E163),COUNTIF($G$2:$G$9999,G163))</f>
        <v>2</v>
      </c>
      <c r="N163" s="25"/>
      <c r="O163" s="25" t="s">
        <v>8</v>
      </c>
      <c r="P163" s="26" t="n">
        <v>0</v>
      </c>
      <c r="Q163" s="27"/>
      <c r="R163" s="25"/>
      <c r="S163" s="27"/>
      <c r="T163" s="28"/>
      <c r="U163" s="18" t="s">
        <v>1285</v>
      </c>
      <c r="V163" s="29" t="n">
        <v>45876</v>
      </c>
      <c r="W163" s="18" t="s">
        <v>676</v>
      </c>
      <c r="X163" s="23" t="s">
        <v>677</v>
      </c>
      <c r="Y163" s="18" t="s">
        <v>1286</v>
      </c>
      <c r="Z163" s="18" t="s">
        <v>149</v>
      </c>
      <c r="AA163" s="18" t="s">
        <v>1287</v>
      </c>
      <c r="AB163" s="18" t="s">
        <v>151</v>
      </c>
      <c r="AC163" s="18"/>
    </row>
    <row r="164" customFormat="false" ht="30" hidden="false" customHeight="true" outlineLevel="0" collapsed="false">
      <c r="A164" s="18" t="s">
        <v>1283</v>
      </c>
      <c r="B164" s="19" t="n">
        <v>2</v>
      </c>
      <c r="C164" s="20" t="str">
        <f aca="false">IF(L164="","C",IF(L164&gt;=Lists!$I$2,"A",IF(L164&gt;=Lists!$I$3,"B","C")))</f>
        <v>C</v>
      </c>
      <c r="D164" s="21" t="s">
        <v>137</v>
      </c>
      <c r="E164" s="22" t="s">
        <v>1288</v>
      </c>
      <c r="F164" s="18"/>
      <c r="G164" s="30" t="s">
        <v>153</v>
      </c>
      <c r="H164" s="18"/>
      <c r="I164" s="21" t="s">
        <v>1289</v>
      </c>
      <c r="J164" s="18" t="s">
        <v>1290</v>
      </c>
      <c r="K164" s="18" t="s">
        <v>42</v>
      </c>
      <c r="L164" s="24" t="n">
        <v>20000</v>
      </c>
      <c r="M164" s="19" t="n">
        <f aca="false">IF(G164="To be found",COUNTIF($E$2:$E$9999,E164),COUNTIF($G$2:$G$9999,G164))</f>
        <v>1</v>
      </c>
      <c r="N164" s="25"/>
      <c r="O164" s="25" t="s">
        <v>8</v>
      </c>
      <c r="P164" s="26" t="n">
        <v>0</v>
      </c>
      <c r="Q164" s="27"/>
      <c r="R164" s="25"/>
      <c r="S164" s="27"/>
      <c r="T164" s="28"/>
      <c r="U164" s="18" t="s">
        <v>1291</v>
      </c>
      <c r="V164" s="29" t="n">
        <v>45874</v>
      </c>
      <c r="W164" s="18" t="s">
        <v>1292</v>
      </c>
      <c r="X164" s="18"/>
      <c r="Y164" s="18" t="s">
        <v>1293</v>
      </c>
      <c r="Z164" s="18" t="s">
        <v>149</v>
      </c>
      <c r="AA164" s="18" t="s">
        <v>1294</v>
      </c>
      <c r="AB164" s="18" t="s">
        <v>151</v>
      </c>
      <c r="AC164" s="18"/>
    </row>
    <row r="165" customFormat="false" ht="30" hidden="false" customHeight="true" outlineLevel="0" collapsed="false">
      <c r="A165" s="18" t="s">
        <v>1283</v>
      </c>
      <c r="B165" s="19" t="n">
        <v>2</v>
      </c>
      <c r="C165" s="20" t="str">
        <f aca="false">IF(L165="","C",IF(L165&gt;=Lists!$I$2,"A",IF(L165&gt;=Lists!$I$3,"B","C")))</f>
        <v>C</v>
      </c>
      <c r="D165" s="21" t="s">
        <v>97</v>
      </c>
      <c r="E165" s="22" t="s">
        <v>869</v>
      </c>
      <c r="F165" s="18" t="s">
        <v>870</v>
      </c>
      <c r="G165" s="23" t="s">
        <v>871</v>
      </c>
      <c r="H165" s="23" t="s">
        <v>1127</v>
      </c>
      <c r="I165" s="21" t="s">
        <v>1289</v>
      </c>
      <c r="J165" s="18" t="s">
        <v>1290</v>
      </c>
      <c r="K165" s="18" t="s">
        <v>42</v>
      </c>
      <c r="L165" s="24" t="n">
        <v>20000</v>
      </c>
      <c r="M165" s="19" t="n">
        <f aca="false">IF(G165="To be found",COUNTIF($E$2:$E$9999,E165),COUNTIF($G$2:$G$9999,G165))</f>
        <v>3</v>
      </c>
      <c r="N165" s="25"/>
      <c r="O165" s="25" t="s">
        <v>8</v>
      </c>
      <c r="P165" s="26" t="n">
        <v>0</v>
      </c>
      <c r="Q165" s="27"/>
      <c r="R165" s="25"/>
      <c r="S165" s="27"/>
      <c r="T165" s="28"/>
      <c r="U165" s="18" t="s">
        <v>1291</v>
      </c>
      <c r="V165" s="29" t="n">
        <v>45874</v>
      </c>
      <c r="W165" s="18" t="s">
        <v>873</v>
      </c>
      <c r="X165" s="23" t="s">
        <v>1128</v>
      </c>
      <c r="Y165" s="18" t="s">
        <v>1293</v>
      </c>
      <c r="Z165" s="18" t="s">
        <v>149</v>
      </c>
      <c r="AA165" s="18" t="s">
        <v>1294</v>
      </c>
      <c r="AB165" s="18" t="s">
        <v>151</v>
      </c>
      <c r="AC165" s="18"/>
    </row>
    <row r="166" customFormat="false" ht="30" hidden="false" customHeight="true" outlineLevel="0" collapsed="false">
      <c r="A166" s="18" t="s">
        <v>1283</v>
      </c>
      <c r="B166" s="19" t="n">
        <v>3</v>
      </c>
      <c r="C166" s="20" t="str">
        <f aca="false">IF(L166="","C",IF(L166&gt;=Lists!$I$2,"A",IF(L166&gt;=Lists!$I$3,"B","C")))</f>
        <v>A</v>
      </c>
      <c r="D166" s="21" t="s">
        <v>137</v>
      </c>
      <c r="E166" s="22" t="s">
        <v>1295</v>
      </c>
      <c r="F166" s="18" t="s">
        <v>1296</v>
      </c>
      <c r="G166" s="23" t="s">
        <v>1297</v>
      </c>
      <c r="H166" s="23" t="s">
        <v>1298</v>
      </c>
      <c r="I166" s="21" t="s">
        <v>1299</v>
      </c>
      <c r="J166" s="18" t="s">
        <v>1300</v>
      </c>
      <c r="K166" s="18" t="s">
        <v>42</v>
      </c>
      <c r="L166" s="24" t="n">
        <v>400000</v>
      </c>
      <c r="M166" s="19" t="n">
        <f aca="false">IF(G166="To be found",COUNTIF($E$2:$E$9999,E166),COUNTIF($G$2:$G$9999,G166))</f>
        <v>1</v>
      </c>
      <c r="N166" s="25"/>
      <c r="O166" s="25" t="s">
        <v>8</v>
      </c>
      <c r="P166" s="26" t="n">
        <v>0</v>
      </c>
      <c r="Q166" s="27"/>
      <c r="R166" s="25"/>
      <c r="S166" s="27"/>
      <c r="T166" s="28"/>
      <c r="U166" s="18" t="s">
        <v>1301</v>
      </c>
      <c r="V166" s="29" t="n">
        <v>45874</v>
      </c>
      <c r="W166" s="18" t="s">
        <v>1302</v>
      </c>
      <c r="X166" s="23" t="s">
        <v>1303</v>
      </c>
      <c r="Y166" s="18" t="s">
        <v>1302</v>
      </c>
      <c r="Z166" s="18" t="s">
        <v>707</v>
      </c>
      <c r="AA166" s="18" t="s">
        <v>1304</v>
      </c>
      <c r="AB166" s="18" t="s">
        <v>151</v>
      </c>
      <c r="AC166" s="18"/>
    </row>
    <row r="167" customFormat="false" ht="30" hidden="false" customHeight="true" outlineLevel="0" collapsed="false">
      <c r="A167" s="18" t="s">
        <v>1283</v>
      </c>
      <c r="B167" s="19" t="n">
        <v>3</v>
      </c>
      <c r="C167" s="20" t="str">
        <f aca="false">IF(L167="","C",IF(L167&gt;=Lists!$I$2,"A",IF(L167&gt;=Lists!$I$3,"B","C")))</f>
        <v>A</v>
      </c>
      <c r="D167" s="21" t="s">
        <v>97</v>
      </c>
      <c r="E167" s="22" t="s">
        <v>1305</v>
      </c>
      <c r="F167" s="18" t="s">
        <v>1306</v>
      </c>
      <c r="G167" s="23" t="s">
        <v>1307</v>
      </c>
      <c r="H167" s="23" t="s">
        <v>1308</v>
      </c>
      <c r="I167" s="21" t="s">
        <v>1299</v>
      </c>
      <c r="J167" s="18" t="s">
        <v>1300</v>
      </c>
      <c r="K167" s="18" t="s">
        <v>42</v>
      </c>
      <c r="L167" s="24" t="n">
        <v>400000</v>
      </c>
      <c r="M167" s="19" t="n">
        <f aca="false">IF(G167="To be found",COUNTIF($E$2:$E$9999,E167),COUNTIF($G$2:$G$9999,G167))</f>
        <v>3</v>
      </c>
      <c r="N167" s="25"/>
      <c r="O167" s="25" t="s">
        <v>8</v>
      </c>
      <c r="P167" s="26" t="n">
        <v>0</v>
      </c>
      <c r="Q167" s="27"/>
      <c r="R167" s="25"/>
      <c r="S167" s="27"/>
      <c r="T167" s="28"/>
      <c r="U167" s="18" t="s">
        <v>1301</v>
      </c>
      <c r="V167" s="29" t="n">
        <v>45874</v>
      </c>
      <c r="W167" s="18" t="s">
        <v>1309</v>
      </c>
      <c r="X167" s="23" t="s">
        <v>1310</v>
      </c>
      <c r="Y167" s="18" t="s">
        <v>1302</v>
      </c>
      <c r="Z167" s="18" t="s">
        <v>707</v>
      </c>
      <c r="AA167" s="18" t="s">
        <v>1304</v>
      </c>
      <c r="AB167" s="18" t="s">
        <v>151</v>
      </c>
      <c r="AC167" s="18"/>
    </row>
    <row r="168" customFormat="false" ht="30" hidden="false" customHeight="true" outlineLevel="0" collapsed="false">
      <c r="A168" s="18" t="s">
        <v>1311</v>
      </c>
      <c r="B168" s="19" t="n">
        <v>1</v>
      </c>
      <c r="C168" s="20" t="str">
        <f aca="false">IF(L168="","C",IF(L168&gt;=Lists!$I$2,"A",IF(L168&gt;=Lists!$I$3,"B","C")))</f>
        <v>C</v>
      </c>
      <c r="D168" s="21" t="s">
        <v>137</v>
      </c>
      <c r="E168" s="22" t="s">
        <v>1312</v>
      </c>
      <c r="F168" s="18" t="s">
        <v>1313</v>
      </c>
      <c r="G168" s="23" t="s">
        <v>1314</v>
      </c>
      <c r="H168" s="23" t="s">
        <v>1315</v>
      </c>
      <c r="I168" s="21" t="s">
        <v>1316</v>
      </c>
      <c r="J168" s="18" t="s">
        <v>182</v>
      </c>
      <c r="K168" s="18" t="s">
        <v>42</v>
      </c>
      <c r="L168" s="24" t="n">
        <v>40000</v>
      </c>
      <c r="M168" s="19" t="n">
        <f aca="false">IF(G168="To be found",COUNTIF($E$2:$E$9999,E168),COUNTIF($G$2:$G$9999,G168))</f>
        <v>2</v>
      </c>
      <c r="N168" s="25"/>
      <c r="O168" s="25" t="s">
        <v>8</v>
      </c>
      <c r="P168" s="26" t="n">
        <v>0</v>
      </c>
      <c r="Q168" s="27"/>
      <c r="R168" s="25"/>
      <c r="S168" s="27"/>
      <c r="T168" s="28"/>
      <c r="U168" s="18" t="s">
        <v>1317</v>
      </c>
      <c r="V168" s="29" t="n">
        <v>45874</v>
      </c>
      <c r="W168" s="18" t="s">
        <v>1318</v>
      </c>
      <c r="X168" s="23" t="s">
        <v>1319</v>
      </c>
      <c r="Y168" s="18" t="s">
        <v>1320</v>
      </c>
      <c r="Z168" s="18" t="s">
        <v>149</v>
      </c>
      <c r="AA168" s="18" t="s">
        <v>1316</v>
      </c>
      <c r="AB168" s="18" t="s">
        <v>151</v>
      </c>
      <c r="AC168" s="18"/>
    </row>
    <row r="169" customFormat="false" ht="30" hidden="false" customHeight="true" outlineLevel="0" collapsed="false">
      <c r="A169" s="18" t="s">
        <v>1311</v>
      </c>
      <c r="B169" s="19" t="n">
        <v>1</v>
      </c>
      <c r="C169" s="20" t="str">
        <f aca="false">IF(L169="","C",IF(L169&gt;=Lists!$I$2,"A",IF(L169&gt;=Lists!$I$3,"B","C")))</f>
        <v>C</v>
      </c>
      <c r="D169" s="21" t="s">
        <v>97</v>
      </c>
      <c r="E169" s="22" t="s">
        <v>1305</v>
      </c>
      <c r="F169" s="18" t="s">
        <v>1306</v>
      </c>
      <c r="G169" s="23" t="s">
        <v>1307</v>
      </c>
      <c r="H169" s="23" t="s">
        <v>1308</v>
      </c>
      <c r="I169" s="21" t="s">
        <v>1316</v>
      </c>
      <c r="J169" s="18" t="s">
        <v>182</v>
      </c>
      <c r="K169" s="18" t="s">
        <v>42</v>
      </c>
      <c r="L169" s="24" t="n">
        <v>40000</v>
      </c>
      <c r="M169" s="19" t="n">
        <f aca="false">IF(G169="To be found",COUNTIF($E$2:$E$9999,E169),COUNTIF($G$2:$G$9999,G169))</f>
        <v>3</v>
      </c>
      <c r="N169" s="25"/>
      <c r="O169" s="25" t="s">
        <v>8</v>
      </c>
      <c r="P169" s="26" t="n">
        <v>0</v>
      </c>
      <c r="Q169" s="27"/>
      <c r="R169" s="25"/>
      <c r="S169" s="27"/>
      <c r="T169" s="28"/>
      <c r="U169" s="18" t="s">
        <v>1317</v>
      </c>
      <c r="V169" s="29" t="n">
        <v>45874</v>
      </c>
      <c r="W169" s="18" t="s">
        <v>1309</v>
      </c>
      <c r="X169" s="23" t="s">
        <v>1310</v>
      </c>
      <c r="Y169" s="18" t="s">
        <v>1320</v>
      </c>
      <c r="Z169" s="18" t="s">
        <v>149</v>
      </c>
      <c r="AA169" s="18" t="s">
        <v>1316</v>
      </c>
      <c r="AB169" s="18" t="s">
        <v>151</v>
      </c>
      <c r="AC169" s="18"/>
    </row>
    <row r="170" customFormat="false" ht="30" hidden="false" customHeight="true" outlineLevel="0" collapsed="false">
      <c r="A170" s="18" t="s">
        <v>1311</v>
      </c>
      <c r="B170" s="19" t="n">
        <v>2</v>
      </c>
      <c r="C170" s="20" t="str">
        <f aca="false">IF(L170="","C",IF(L170&gt;=Lists!$I$2,"A",IF(L170&gt;=Lists!$I$3,"B","C")))</f>
        <v>C</v>
      </c>
      <c r="D170" s="21" t="s">
        <v>137</v>
      </c>
      <c r="E170" s="22" t="s">
        <v>1312</v>
      </c>
      <c r="F170" s="18" t="s">
        <v>1313</v>
      </c>
      <c r="G170" s="23" t="s">
        <v>1314</v>
      </c>
      <c r="H170" s="23" t="s">
        <v>1315</v>
      </c>
      <c r="I170" s="21" t="s">
        <v>1321</v>
      </c>
      <c r="J170" s="18" t="s">
        <v>182</v>
      </c>
      <c r="K170" s="18" t="s">
        <v>42</v>
      </c>
      <c r="L170" s="24" t="n">
        <v>50000</v>
      </c>
      <c r="M170" s="19" t="n">
        <f aca="false">IF(G170="To be found",COUNTIF($E$2:$E$9999,E170),COUNTIF($G$2:$G$9999,G170))</f>
        <v>2</v>
      </c>
      <c r="N170" s="25"/>
      <c r="O170" s="25" t="s">
        <v>8</v>
      </c>
      <c r="P170" s="26" t="n">
        <v>0</v>
      </c>
      <c r="Q170" s="27"/>
      <c r="R170" s="25"/>
      <c r="S170" s="27"/>
      <c r="T170" s="28"/>
      <c r="U170" s="18" t="s">
        <v>1322</v>
      </c>
      <c r="V170" s="29" t="n">
        <v>45876</v>
      </c>
      <c r="W170" s="18" t="s">
        <v>1318</v>
      </c>
      <c r="X170" s="23" t="s">
        <v>1319</v>
      </c>
      <c r="Y170" s="18" t="s">
        <v>1318</v>
      </c>
      <c r="Z170" s="18" t="s">
        <v>149</v>
      </c>
      <c r="AA170" s="18" t="s">
        <v>1323</v>
      </c>
      <c r="AB170" s="18" t="s">
        <v>151</v>
      </c>
      <c r="AC170" s="18"/>
    </row>
    <row r="171" customFormat="false" ht="30" hidden="false" customHeight="true" outlineLevel="0" collapsed="false">
      <c r="A171" s="18" t="s">
        <v>1311</v>
      </c>
      <c r="B171" s="19" t="n">
        <v>2</v>
      </c>
      <c r="C171" s="20" t="str">
        <f aca="false">IF(L171="","C",IF(L171&gt;=Lists!$I$2,"A",IF(L171&gt;=Lists!$I$3,"B","C")))</f>
        <v>C</v>
      </c>
      <c r="D171" s="21" t="s">
        <v>97</v>
      </c>
      <c r="E171" s="22" t="s">
        <v>1305</v>
      </c>
      <c r="F171" s="18" t="s">
        <v>1306</v>
      </c>
      <c r="G171" s="23" t="s">
        <v>1307</v>
      </c>
      <c r="H171" s="23" t="s">
        <v>1308</v>
      </c>
      <c r="I171" s="21" t="s">
        <v>1321</v>
      </c>
      <c r="J171" s="18" t="s">
        <v>182</v>
      </c>
      <c r="K171" s="18" t="s">
        <v>42</v>
      </c>
      <c r="L171" s="24" t="n">
        <v>50000</v>
      </c>
      <c r="M171" s="19" t="n">
        <f aca="false">IF(G171="To be found",COUNTIF($E$2:$E$9999,E171),COUNTIF($G$2:$G$9999,G171))</f>
        <v>3</v>
      </c>
      <c r="N171" s="25"/>
      <c r="O171" s="25" t="s">
        <v>8</v>
      </c>
      <c r="P171" s="26" t="n">
        <v>0</v>
      </c>
      <c r="Q171" s="27"/>
      <c r="R171" s="25"/>
      <c r="S171" s="27"/>
      <c r="T171" s="28"/>
      <c r="U171" s="18" t="s">
        <v>1322</v>
      </c>
      <c r="V171" s="29" t="n">
        <v>45876</v>
      </c>
      <c r="W171" s="18" t="s">
        <v>1309</v>
      </c>
      <c r="X171" s="23" t="s">
        <v>1310</v>
      </c>
      <c r="Y171" s="18" t="s">
        <v>1318</v>
      </c>
      <c r="Z171" s="18" t="s">
        <v>149</v>
      </c>
      <c r="AA171" s="18" t="s">
        <v>1323</v>
      </c>
      <c r="AB171" s="18" t="s">
        <v>151</v>
      </c>
      <c r="AC171" s="18"/>
    </row>
    <row r="172" customFormat="false" ht="30" hidden="false" customHeight="true" outlineLevel="0" collapsed="false">
      <c r="A172" s="18" t="s">
        <v>1324</v>
      </c>
      <c r="B172" s="19" t="n">
        <v>1</v>
      </c>
      <c r="C172" s="20" t="str">
        <f aca="false">IF(L172="","C",IF(L172&gt;=Lists!$I$2,"A",IF(L172&gt;=Lists!$I$3,"B","C")))</f>
        <v>C</v>
      </c>
      <c r="D172" s="21" t="s">
        <v>137</v>
      </c>
      <c r="E172" s="22" t="s">
        <v>1325</v>
      </c>
      <c r="F172" s="18" t="s">
        <v>1326</v>
      </c>
      <c r="G172" s="23" t="s">
        <v>1327</v>
      </c>
      <c r="H172" s="23" t="s">
        <v>1328</v>
      </c>
      <c r="I172" s="21" t="s">
        <v>1329</v>
      </c>
      <c r="J172" s="18" t="s">
        <v>569</v>
      </c>
      <c r="K172" s="18" t="s">
        <v>43</v>
      </c>
      <c r="L172" s="24" t="n">
        <v>50000</v>
      </c>
      <c r="M172" s="19" t="n">
        <f aca="false">IF(G172="To be found",COUNTIF($E$2:$E$9999,E172),COUNTIF($G$2:$G$9999,G172))</f>
        <v>1</v>
      </c>
      <c r="N172" s="25"/>
      <c r="O172" s="25" t="s">
        <v>8</v>
      </c>
      <c r="P172" s="26" t="n">
        <v>0</v>
      </c>
      <c r="Q172" s="27"/>
      <c r="R172" s="25"/>
      <c r="S172" s="27"/>
      <c r="T172" s="28"/>
      <c r="U172" s="18" t="s">
        <v>1330</v>
      </c>
      <c r="V172" s="29" t="n">
        <v>45881</v>
      </c>
      <c r="W172" s="18" t="s">
        <v>1331</v>
      </c>
      <c r="X172" s="23" t="s">
        <v>1332</v>
      </c>
      <c r="Y172" s="18" t="s">
        <v>1331</v>
      </c>
      <c r="Z172" s="18" t="s">
        <v>149</v>
      </c>
      <c r="AA172" s="18" t="s">
        <v>1333</v>
      </c>
      <c r="AB172" s="18" t="s">
        <v>151</v>
      </c>
      <c r="AC172" s="18"/>
    </row>
    <row r="173" customFormat="false" ht="30" hidden="false" customHeight="true" outlineLevel="0" collapsed="false">
      <c r="A173" s="18" t="s">
        <v>1324</v>
      </c>
      <c r="B173" s="19" t="n">
        <v>1</v>
      </c>
      <c r="C173" s="20" t="str">
        <f aca="false">IF(L173="","C",IF(L173&gt;=Lists!$I$2,"A",IF(L173&gt;=Lists!$I$3,"B","C")))</f>
        <v>C</v>
      </c>
      <c r="D173" s="21" t="s">
        <v>97</v>
      </c>
      <c r="E173" s="22" t="s">
        <v>1334</v>
      </c>
      <c r="F173" s="18" t="s">
        <v>1335</v>
      </c>
      <c r="G173" s="23" t="s">
        <v>1336</v>
      </c>
      <c r="H173" s="23" t="s">
        <v>1337</v>
      </c>
      <c r="I173" s="21" t="s">
        <v>1329</v>
      </c>
      <c r="J173" s="18" t="s">
        <v>569</v>
      </c>
      <c r="K173" s="18" t="s">
        <v>43</v>
      </c>
      <c r="L173" s="24" t="n">
        <v>50000</v>
      </c>
      <c r="M173" s="19" t="n">
        <f aca="false">IF(G173="To be found",COUNTIF($E$2:$E$9999,E173),COUNTIF($G$2:$G$9999,G173))</f>
        <v>1</v>
      </c>
      <c r="N173" s="25"/>
      <c r="O173" s="25" t="s">
        <v>8</v>
      </c>
      <c r="P173" s="26" t="n">
        <v>0</v>
      </c>
      <c r="Q173" s="27"/>
      <c r="R173" s="25"/>
      <c r="S173" s="27"/>
      <c r="T173" s="28"/>
      <c r="U173" s="18" t="s">
        <v>1330</v>
      </c>
      <c r="V173" s="29" t="n">
        <v>45881</v>
      </c>
      <c r="W173" s="18" t="s">
        <v>1338</v>
      </c>
      <c r="X173" s="23" t="s">
        <v>1339</v>
      </c>
      <c r="Y173" s="18" t="s">
        <v>1331</v>
      </c>
      <c r="Z173" s="18" t="s">
        <v>149</v>
      </c>
      <c r="AA173" s="18" t="s">
        <v>1333</v>
      </c>
      <c r="AB173" s="18" t="s">
        <v>151</v>
      </c>
      <c r="AC173" s="18"/>
    </row>
    <row r="174" customFormat="false" ht="30" hidden="false" customHeight="true" outlineLevel="0" collapsed="false">
      <c r="A174" s="18" t="s">
        <v>1340</v>
      </c>
      <c r="B174" s="19" t="n">
        <v>1</v>
      </c>
      <c r="C174" s="20" t="str">
        <f aca="false">IF(L174="","C",IF(L174&gt;=Lists!$I$2,"A",IF(L174&gt;=Lists!$I$3,"B","C")))</f>
        <v>C</v>
      </c>
      <c r="D174" s="21" t="s">
        <v>137</v>
      </c>
      <c r="E174" s="22" t="s">
        <v>1054</v>
      </c>
      <c r="F174" s="18" t="s">
        <v>1055</v>
      </c>
      <c r="G174" s="23" t="s">
        <v>1056</v>
      </c>
      <c r="H174" s="23" t="s">
        <v>1057</v>
      </c>
      <c r="I174" s="21" t="s">
        <v>1341</v>
      </c>
      <c r="J174" s="18" t="s">
        <v>156</v>
      </c>
      <c r="K174" s="18" t="s">
        <v>43</v>
      </c>
      <c r="L174" s="24" t="n">
        <v>50000</v>
      </c>
      <c r="M174" s="19" t="n">
        <f aca="false">IF(G174="To be found",COUNTIF($E$2:$E$9999,E174),COUNTIF($G$2:$G$9999,G174))</f>
        <v>3</v>
      </c>
      <c r="N174" s="25"/>
      <c r="O174" s="25" t="s">
        <v>8</v>
      </c>
      <c r="P174" s="26" t="n">
        <v>0</v>
      </c>
      <c r="Q174" s="27"/>
      <c r="R174" s="25"/>
      <c r="S174" s="27"/>
      <c r="T174" s="28"/>
      <c r="U174" s="18" t="s">
        <v>1342</v>
      </c>
      <c r="V174" s="29" t="n">
        <v>45882</v>
      </c>
      <c r="W174" s="18" t="s">
        <v>1060</v>
      </c>
      <c r="X174" s="23" t="s">
        <v>1061</v>
      </c>
      <c r="Y174" s="18" t="s">
        <v>1343</v>
      </c>
      <c r="Z174" s="18" t="s">
        <v>254</v>
      </c>
      <c r="AA174" s="18" t="s">
        <v>1341</v>
      </c>
      <c r="AB174" s="18" t="s">
        <v>151</v>
      </c>
      <c r="AC174" s="18"/>
    </row>
    <row r="175" customFormat="false" ht="30" hidden="false" customHeight="true" outlineLevel="0" collapsed="false">
      <c r="A175" s="18" t="s">
        <v>1340</v>
      </c>
      <c r="B175" s="19" t="n">
        <v>2</v>
      </c>
      <c r="C175" s="20" t="str">
        <f aca="false">IF(L175="","C",IF(L175&gt;=Lists!$I$2,"A",IF(L175&gt;=Lists!$I$3,"B","C")))</f>
        <v>C</v>
      </c>
      <c r="D175" s="21" t="s">
        <v>137</v>
      </c>
      <c r="E175" s="22" t="s">
        <v>1344</v>
      </c>
      <c r="F175" s="18"/>
      <c r="G175" s="23" t="s">
        <v>1345</v>
      </c>
      <c r="H175" s="18"/>
      <c r="I175" s="21" t="s">
        <v>1346</v>
      </c>
      <c r="J175" s="18" t="s">
        <v>477</v>
      </c>
      <c r="K175" s="18" t="s">
        <v>43</v>
      </c>
      <c r="L175" s="24" t="n">
        <v>10000</v>
      </c>
      <c r="M175" s="19" t="n">
        <f aca="false">IF(G175="To be found",COUNTIF($E$2:$E$9999,E175),COUNTIF($G$2:$G$9999,G175))</f>
        <v>1</v>
      </c>
      <c r="N175" s="25"/>
      <c r="O175" s="25" t="s">
        <v>8</v>
      </c>
      <c r="P175" s="26" t="n">
        <v>0</v>
      </c>
      <c r="Q175" s="27"/>
      <c r="R175" s="25"/>
      <c r="S175" s="27"/>
      <c r="T175" s="28"/>
      <c r="U175" s="18" t="s">
        <v>1347</v>
      </c>
      <c r="V175" s="29" t="n">
        <v>45882</v>
      </c>
      <c r="W175" s="18" t="s">
        <v>1348</v>
      </c>
      <c r="X175" s="18"/>
      <c r="Y175" s="18" t="s">
        <v>1349</v>
      </c>
      <c r="Z175" s="18" t="s">
        <v>254</v>
      </c>
      <c r="AA175" s="18" t="s">
        <v>1350</v>
      </c>
      <c r="AB175" s="18" t="s">
        <v>151</v>
      </c>
      <c r="AC175" s="18"/>
    </row>
    <row r="176" customFormat="false" ht="30" hidden="false" customHeight="true" outlineLevel="0" collapsed="false">
      <c r="A176" s="18" t="s">
        <v>1340</v>
      </c>
      <c r="B176" s="19" t="n">
        <v>2</v>
      </c>
      <c r="C176" s="20" t="str">
        <f aca="false">IF(L176="","C",IF(L176&gt;=Lists!$I$2,"A",IF(L176&gt;=Lists!$I$3,"B","C")))</f>
        <v>C</v>
      </c>
      <c r="D176" s="21" t="s">
        <v>97</v>
      </c>
      <c r="E176" s="22" t="s">
        <v>1351</v>
      </c>
      <c r="F176" s="18" t="s">
        <v>1352</v>
      </c>
      <c r="G176" s="23" t="s">
        <v>1353</v>
      </c>
      <c r="H176" s="23" t="s">
        <v>1354</v>
      </c>
      <c r="I176" s="21" t="s">
        <v>1346</v>
      </c>
      <c r="J176" s="18" t="s">
        <v>477</v>
      </c>
      <c r="K176" s="18" t="s">
        <v>43</v>
      </c>
      <c r="L176" s="24" t="n">
        <v>10000</v>
      </c>
      <c r="M176" s="19" t="n">
        <f aca="false">IF(G176="To be found",COUNTIF($E$2:$E$9999,E176),COUNTIF($G$2:$G$9999,G176))</f>
        <v>1</v>
      </c>
      <c r="N176" s="25"/>
      <c r="O176" s="25" t="s">
        <v>8</v>
      </c>
      <c r="P176" s="26" t="n">
        <v>0</v>
      </c>
      <c r="Q176" s="27"/>
      <c r="R176" s="25"/>
      <c r="S176" s="27"/>
      <c r="T176" s="28"/>
      <c r="U176" s="18" t="s">
        <v>1347</v>
      </c>
      <c r="V176" s="29" t="n">
        <v>45882</v>
      </c>
      <c r="W176" s="18" t="s">
        <v>1355</v>
      </c>
      <c r="X176" s="23" t="s">
        <v>1356</v>
      </c>
      <c r="Y176" s="18" t="s">
        <v>1349</v>
      </c>
      <c r="Z176" s="18" t="s">
        <v>254</v>
      </c>
      <c r="AA176" s="18" t="s">
        <v>1350</v>
      </c>
      <c r="AB176" s="18" t="s">
        <v>151</v>
      </c>
      <c r="AC176" s="18"/>
    </row>
    <row r="177" customFormat="false" ht="30" hidden="false" customHeight="true" outlineLevel="0" collapsed="false">
      <c r="A177" s="18" t="s">
        <v>1357</v>
      </c>
      <c r="B177" s="19" t="n">
        <v>1</v>
      </c>
      <c r="C177" s="20" t="str">
        <f aca="false">IF(L177="","C",IF(L177&gt;=Lists!$I$2,"A",IF(L177&gt;=Lists!$I$3,"B","C")))</f>
        <v>C</v>
      </c>
      <c r="D177" s="21" t="s">
        <v>137</v>
      </c>
      <c r="E177" s="22" t="s">
        <v>1358</v>
      </c>
      <c r="F177" s="18" t="s">
        <v>1359</v>
      </c>
      <c r="G177" s="23" t="s">
        <v>1360</v>
      </c>
      <c r="H177" s="18"/>
      <c r="I177" s="21" t="s">
        <v>181</v>
      </c>
      <c r="J177" s="18" t="s">
        <v>569</v>
      </c>
      <c r="K177" s="18" t="s">
        <v>43</v>
      </c>
      <c r="L177" s="24" t="n">
        <v>70000</v>
      </c>
      <c r="M177" s="19" t="n">
        <f aca="false">IF(G177="To be found",COUNTIF($E$2:$E$9999,E177),COUNTIF($G$2:$G$9999,G177))</f>
        <v>1</v>
      </c>
      <c r="N177" s="25"/>
      <c r="O177" s="25" t="s">
        <v>8</v>
      </c>
      <c r="P177" s="26" t="n">
        <v>0</v>
      </c>
      <c r="Q177" s="27"/>
      <c r="R177" s="25"/>
      <c r="S177" s="27"/>
      <c r="T177" s="28"/>
      <c r="U177" s="18" t="s">
        <v>1361</v>
      </c>
      <c r="V177" s="29" t="n">
        <v>45883</v>
      </c>
      <c r="W177" s="18" t="s">
        <v>1362</v>
      </c>
      <c r="X177" s="18"/>
      <c r="Y177" s="18" t="s">
        <v>1362</v>
      </c>
      <c r="Z177" s="18" t="s">
        <v>149</v>
      </c>
      <c r="AA177" s="18" t="s">
        <v>1363</v>
      </c>
      <c r="AB177" s="18" t="s">
        <v>151</v>
      </c>
      <c r="AC177" s="18"/>
    </row>
    <row r="178" customFormat="false" ht="30" hidden="false" customHeight="true" outlineLevel="0" collapsed="false">
      <c r="A178" s="18" t="s">
        <v>1357</v>
      </c>
      <c r="B178" s="19" t="n">
        <v>1</v>
      </c>
      <c r="C178" s="20" t="str">
        <f aca="false">IF(L178="","C",IF(L178&gt;=Lists!$I$2,"A",IF(L178&gt;=Lists!$I$3,"B","C")))</f>
        <v>C</v>
      </c>
      <c r="D178" s="21" t="s">
        <v>97</v>
      </c>
      <c r="E178" s="22" t="s">
        <v>1364</v>
      </c>
      <c r="F178" s="18" t="s">
        <v>1365</v>
      </c>
      <c r="G178" s="23" t="s">
        <v>1366</v>
      </c>
      <c r="H178" s="23" t="s">
        <v>1367</v>
      </c>
      <c r="I178" s="21" t="s">
        <v>181</v>
      </c>
      <c r="J178" s="18" t="s">
        <v>569</v>
      </c>
      <c r="K178" s="18" t="s">
        <v>43</v>
      </c>
      <c r="L178" s="24" t="n">
        <v>70000</v>
      </c>
      <c r="M178" s="19" t="n">
        <f aca="false">IF(G178="To be found",COUNTIF($E$2:$E$9999,E178),COUNTIF($G$2:$G$9999,G178))</f>
        <v>1</v>
      </c>
      <c r="N178" s="25"/>
      <c r="O178" s="25" t="s">
        <v>8</v>
      </c>
      <c r="P178" s="26" t="n">
        <v>0</v>
      </c>
      <c r="Q178" s="27"/>
      <c r="R178" s="25"/>
      <c r="S178" s="27"/>
      <c r="T178" s="28"/>
      <c r="U178" s="18" t="s">
        <v>1361</v>
      </c>
      <c r="V178" s="29" t="n">
        <v>45883</v>
      </c>
      <c r="W178" s="18" t="s">
        <v>1368</v>
      </c>
      <c r="X178" s="18"/>
      <c r="Y178" s="18" t="s">
        <v>1362</v>
      </c>
      <c r="Z178" s="18" t="s">
        <v>149</v>
      </c>
      <c r="AA178" s="18" t="s">
        <v>1363</v>
      </c>
      <c r="AB178" s="18" t="s">
        <v>151</v>
      </c>
      <c r="AC178" s="18"/>
    </row>
    <row r="179" customFormat="false" ht="30" hidden="false" customHeight="true" outlineLevel="0" collapsed="false">
      <c r="A179" s="18" t="s">
        <v>1357</v>
      </c>
      <c r="B179" s="19" t="n">
        <v>2</v>
      </c>
      <c r="C179" s="20" t="str">
        <f aca="false">IF(L179="","C",IF(L179&gt;=Lists!$I$2,"A",IF(L179&gt;=Lists!$I$3,"B","C")))</f>
        <v>C</v>
      </c>
      <c r="D179" s="21" t="s">
        <v>137</v>
      </c>
      <c r="E179" s="22" t="s">
        <v>1369</v>
      </c>
      <c r="F179" s="18" t="s">
        <v>1370</v>
      </c>
      <c r="G179" s="23" t="s">
        <v>1371</v>
      </c>
      <c r="H179" s="18"/>
      <c r="I179" s="21" t="s">
        <v>1372</v>
      </c>
      <c r="J179" s="18" t="s">
        <v>1155</v>
      </c>
      <c r="K179" s="18" t="s">
        <v>43</v>
      </c>
      <c r="L179" s="24" t="n">
        <v>70000</v>
      </c>
      <c r="M179" s="19" t="n">
        <f aca="false">IF(G179="To be found",COUNTIF($E$2:$E$9999,E179),COUNTIF($G$2:$G$9999,G179))</f>
        <v>1</v>
      </c>
      <c r="N179" s="25"/>
      <c r="O179" s="25" t="s">
        <v>8</v>
      </c>
      <c r="P179" s="26" t="n">
        <v>0</v>
      </c>
      <c r="Q179" s="27"/>
      <c r="R179" s="25"/>
      <c r="S179" s="27"/>
      <c r="T179" s="28"/>
      <c r="U179" s="18" t="s">
        <v>1373</v>
      </c>
      <c r="V179" s="29" t="n">
        <v>45883</v>
      </c>
      <c r="W179" s="18" t="s">
        <v>1374</v>
      </c>
      <c r="X179" s="18"/>
      <c r="Y179" s="18" t="s">
        <v>1159</v>
      </c>
      <c r="Z179" s="18" t="s">
        <v>149</v>
      </c>
      <c r="AA179" s="18" t="s">
        <v>1372</v>
      </c>
      <c r="AB179" s="18" t="s">
        <v>151</v>
      </c>
      <c r="AC179" s="18"/>
    </row>
    <row r="180" customFormat="false" ht="30" hidden="false" customHeight="true" outlineLevel="0" collapsed="false">
      <c r="A180" s="18" t="s">
        <v>1357</v>
      </c>
      <c r="B180" s="19" t="n">
        <v>2</v>
      </c>
      <c r="C180" s="20" t="str">
        <f aca="false">IF(L180="","C",IF(L180&gt;=Lists!$I$2,"A",IF(L180&gt;=Lists!$I$3,"B","C")))</f>
        <v>C</v>
      </c>
      <c r="D180" s="21" t="s">
        <v>97</v>
      </c>
      <c r="E180" s="22" t="s">
        <v>829</v>
      </c>
      <c r="F180" s="18" t="s">
        <v>830</v>
      </c>
      <c r="G180" s="23" t="s">
        <v>831</v>
      </c>
      <c r="H180" s="23" t="s">
        <v>832</v>
      </c>
      <c r="I180" s="21" t="s">
        <v>1372</v>
      </c>
      <c r="J180" s="18" t="s">
        <v>1155</v>
      </c>
      <c r="K180" s="18" t="s">
        <v>43</v>
      </c>
      <c r="L180" s="24" t="n">
        <v>70000</v>
      </c>
      <c r="M180" s="19" t="n">
        <f aca="false">IF(G180="To be found",COUNTIF($E$2:$E$9999,E180),COUNTIF($G$2:$G$9999,G180))</f>
        <v>5</v>
      </c>
      <c r="N180" s="25"/>
      <c r="O180" s="25" t="s">
        <v>8</v>
      </c>
      <c r="P180" s="26" t="n">
        <v>0</v>
      </c>
      <c r="Q180" s="27"/>
      <c r="R180" s="25"/>
      <c r="S180" s="27"/>
      <c r="T180" s="28"/>
      <c r="U180" s="18" t="s">
        <v>1373</v>
      </c>
      <c r="V180" s="29" t="n">
        <v>45883</v>
      </c>
      <c r="W180" s="18" t="s">
        <v>833</v>
      </c>
      <c r="X180" s="23" t="s">
        <v>834</v>
      </c>
      <c r="Y180" s="18" t="s">
        <v>1159</v>
      </c>
      <c r="Z180" s="18" t="s">
        <v>149</v>
      </c>
      <c r="AA180" s="18" t="s">
        <v>1372</v>
      </c>
      <c r="AB180" s="18" t="s">
        <v>151</v>
      </c>
      <c r="AC180" s="18"/>
    </row>
    <row r="181" customFormat="false" ht="30" hidden="false" customHeight="true" outlineLevel="0" collapsed="false">
      <c r="A181" s="18" t="s">
        <v>1357</v>
      </c>
      <c r="B181" s="19" t="n">
        <v>3</v>
      </c>
      <c r="C181" s="20" t="str">
        <f aca="false">IF(L181="","C",IF(L181&gt;=Lists!$I$2,"A",IF(L181&gt;=Lists!$I$3,"B","C")))</f>
        <v>B</v>
      </c>
      <c r="D181" s="21" t="s">
        <v>137</v>
      </c>
      <c r="E181" s="22" t="s">
        <v>1375</v>
      </c>
      <c r="F181" s="18" t="s">
        <v>1376</v>
      </c>
      <c r="G181" s="23" t="s">
        <v>1377</v>
      </c>
      <c r="H181" s="23" t="s">
        <v>1378</v>
      </c>
      <c r="I181" s="21" t="s">
        <v>1379</v>
      </c>
      <c r="J181" s="18" t="s">
        <v>852</v>
      </c>
      <c r="K181" s="18" t="s">
        <v>43</v>
      </c>
      <c r="L181" s="24" t="n">
        <v>200000</v>
      </c>
      <c r="M181" s="19" t="n">
        <f aca="false">IF(G181="To be found",COUNTIF($E$2:$E$9999,E181),COUNTIF($G$2:$G$9999,G181))</f>
        <v>1</v>
      </c>
      <c r="N181" s="25"/>
      <c r="O181" s="25" t="s">
        <v>8</v>
      </c>
      <c r="P181" s="26" t="n">
        <v>0</v>
      </c>
      <c r="Q181" s="27"/>
      <c r="R181" s="25"/>
      <c r="S181" s="27"/>
      <c r="T181" s="28"/>
      <c r="U181" s="18" t="s">
        <v>1380</v>
      </c>
      <c r="V181" s="29" t="n">
        <v>45883</v>
      </c>
      <c r="W181" s="18" t="s">
        <v>1381</v>
      </c>
      <c r="X181" s="23" t="s">
        <v>598</v>
      </c>
      <c r="Y181" s="18" t="s">
        <v>1382</v>
      </c>
      <c r="Z181" s="18" t="s">
        <v>254</v>
      </c>
      <c r="AA181" s="18" t="s">
        <v>1383</v>
      </c>
      <c r="AB181" s="18" t="s">
        <v>151</v>
      </c>
      <c r="AC181" s="18"/>
    </row>
    <row r="182" customFormat="false" ht="30" hidden="false" customHeight="true" outlineLevel="0" collapsed="false">
      <c r="A182" s="18" t="s">
        <v>1357</v>
      </c>
      <c r="B182" s="19" t="n">
        <v>3</v>
      </c>
      <c r="C182" s="20" t="str">
        <f aca="false">IF(L182="","C",IF(L182&gt;=Lists!$I$2,"A",IF(L182&gt;=Lists!$I$3,"B","C")))</f>
        <v>B</v>
      </c>
      <c r="D182" s="21" t="s">
        <v>97</v>
      </c>
      <c r="E182" s="22" t="s">
        <v>1384</v>
      </c>
      <c r="F182" s="18" t="s">
        <v>1385</v>
      </c>
      <c r="G182" s="23" t="s">
        <v>1386</v>
      </c>
      <c r="H182" s="23" t="s">
        <v>1387</v>
      </c>
      <c r="I182" s="21" t="s">
        <v>1379</v>
      </c>
      <c r="J182" s="18" t="s">
        <v>852</v>
      </c>
      <c r="K182" s="18" t="s">
        <v>43</v>
      </c>
      <c r="L182" s="24" t="n">
        <v>200000</v>
      </c>
      <c r="M182" s="19" t="n">
        <f aca="false">IF(G182="To be found",COUNTIF($E$2:$E$9999,E182),COUNTIF($G$2:$G$9999,G182))</f>
        <v>1</v>
      </c>
      <c r="N182" s="25"/>
      <c r="O182" s="25" t="s">
        <v>8</v>
      </c>
      <c r="P182" s="26" t="n">
        <v>0</v>
      </c>
      <c r="Q182" s="27"/>
      <c r="R182" s="25"/>
      <c r="S182" s="27"/>
      <c r="T182" s="28"/>
      <c r="U182" s="18" t="s">
        <v>1380</v>
      </c>
      <c r="V182" s="29" t="n">
        <v>45883</v>
      </c>
      <c r="W182" s="18" t="s">
        <v>1388</v>
      </c>
      <c r="X182" s="23" t="s">
        <v>1389</v>
      </c>
      <c r="Y182" s="18" t="s">
        <v>1382</v>
      </c>
      <c r="Z182" s="18" t="s">
        <v>254</v>
      </c>
      <c r="AA182" s="18" t="s">
        <v>1383</v>
      </c>
      <c r="AB182" s="18" t="s">
        <v>151</v>
      </c>
      <c r="AC182" s="18"/>
    </row>
    <row r="183" customFormat="false" ht="30" hidden="false" customHeight="true" outlineLevel="0" collapsed="false">
      <c r="A183" s="18" t="s">
        <v>1390</v>
      </c>
      <c r="B183" s="19" t="n">
        <v>1</v>
      </c>
      <c r="C183" s="20" t="str">
        <f aca="false">IF(L183="","C",IF(L183&gt;=Lists!$I$2,"A",IF(L183&gt;=Lists!$I$3,"B","C")))</f>
        <v>C</v>
      </c>
      <c r="D183" s="21" t="s">
        <v>137</v>
      </c>
      <c r="E183" s="22" t="s">
        <v>1391</v>
      </c>
      <c r="F183" s="18" t="s">
        <v>1392</v>
      </c>
      <c r="G183" s="23" t="s">
        <v>1393</v>
      </c>
      <c r="H183" s="23" t="s">
        <v>1394</v>
      </c>
      <c r="I183" s="21" t="s">
        <v>1395</v>
      </c>
      <c r="J183" s="18" t="s">
        <v>840</v>
      </c>
      <c r="K183" s="18" t="s">
        <v>43</v>
      </c>
      <c r="L183" s="24" t="n">
        <v>70000</v>
      </c>
      <c r="M183" s="19" t="n">
        <f aca="false">IF(G183="To be found",COUNTIF($E$2:$E$9999,E183),COUNTIF($G$2:$G$9999,G183))</f>
        <v>1</v>
      </c>
      <c r="N183" s="25"/>
      <c r="O183" s="25" t="s">
        <v>8</v>
      </c>
      <c r="P183" s="26" t="n">
        <v>0</v>
      </c>
      <c r="Q183" s="27"/>
      <c r="R183" s="25"/>
      <c r="S183" s="27"/>
      <c r="T183" s="28"/>
      <c r="U183" s="18" t="s">
        <v>1396</v>
      </c>
      <c r="V183" s="29" t="n">
        <v>45891</v>
      </c>
      <c r="W183" s="18" t="s">
        <v>1397</v>
      </c>
      <c r="X183" s="23" t="s">
        <v>1398</v>
      </c>
      <c r="Y183" s="18" t="s">
        <v>1399</v>
      </c>
      <c r="Z183" s="18" t="s">
        <v>149</v>
      </c>
      <c r="AA183" s="18" t="s">
        <v>1395</v>
      </c>
      <c r="AB183" s="18" t="s">
        <v>151</v>
      </c>
      <c r="AC183" s="18"/>
    </row>
    <row r="184" customFormat="false" ht="30" hidden="false" customHeight="true" outlineLevel="0" collapsed="false">
      <c r="A184" s="18" t="s">
        <v>1390</v>
      </c>
      <c r="B184" s="19" t="n">
        <v>1</v>
      </c>
      <c r="C184" s="20" t="str">
        <f aca="false">IF(L184="","C",IF(L184&gt;=Lists!$I$2,"A",IF(L184&gt;=Lists!$I$3,"B","C")))</f>
        <v>C</v>
      </c>
      <c r="D184" s="21" t="s">
        <v>97</v>
      </c>
      <c r="E184" s="22" t="s">
        <v>1400</v>
      </c>
      <c r="F184" s="18" t="s">
        <v>1401</v>
      </c>
      <c r="G184" s="23" t="s">
        <v>1402</v>
      </c>
      <c r="H184" s="23" t="s">
        <v>1403</v>
      </c>
      <c r="I184" s="21" t="s">
        <v>1395</v>
      </c>
      <c r="J184" s="18" t="s">
        <v>840</v>
      </c>
      <c r="K184" s="18" t="s">
        <v>43</v>
      </c>
      <c r="L184" s="24" t="n">
        <v>70000</v>
      </c>
      <c r="M184" s="19" t="n">
        <f aca="false">IF(G184="To be found",COUNTIF($E$2:$E$9999,E184),COUNTIF($G$2:$G$9999,G184))</f>
        <v>1</v>
      </c>
      <c r="N184" s="25"/>
      <c r="O184" s="25" t="s">
        <v>8</v>
      </c>
      <c r="P184" s="26" t="n">
        <v>0</v>
      </c>
      <c r="Q184" s="27"/>
      <c r="R184" s="25"/>
      <c r="S184" s="27"/>
      <c r="T184" s="28"/>
      <c r="U184" s="18" t="s">
        <v>1396</v>
      </c>
      <c r="V184" s="29" t="n">
        <v>45891</v>
      </c>
      <c r="W184" s="18" t="s">
        <v>1404</v>
      </c>
      <c r="X184" s="23" t="s">
        <v>1405</v>
      </c>
      <c r="Y184" s="18" t="s">
        <v>1399</v>
      </c>
      <c r="Z184" s="18" t="s">
        <v>149</v>
      </c>
      <c r="AA184" s="18" t="s">
        <v>1395</v>
      </c>
      <c r="AB184" s="18" t="s">
        <v>151</v>
      </c>
      <c r="AC184" s="18"/>
    </row>
    <row r="185" customFormat="false" ht="30" hidden="false" customHeight="true" outlineLevel="0" collapsed="false">
      <c r="A185" s="18" t="s">
        <v>1406</v>
      </c>
      <c r="B185" s="19" t="n">
        <v>1</v>
      </c>
      <c r="C185" s="20" t="str">
        <f aca="false">IF(L185="","C",IF(L185&gt;=Lists!$I$2,"A",IF(L185&gt;=Lists!$I$3,"B","C")))</f>
        <v>B</v>
      </c>
      <c r="D185" s="21" t="s">
        <v>137</v>
      </c>
      <c r="E185" s="22" t="s">
        <v>1054</v>
      </c>
      <c r="F185" s="18" t="s">
        <v>1055</v>
      </c>
      <c r="G185" s="23" t="s">
        <v>1056</v>
      </c>
      <c r="H185" s="23" t="s">
        <v>1057</v>
      </c>
      <c r="I185" s="21" t="s">
        <v>1407</v>
      </c>
      <c r="J185" s="18" t="s">
        <v>156</v>
      </c>
      <c r="K185" s="18" t="s">
        <v>43</v>
      </c>
      <c r="L185" s="24" t="n">
        <v>200000</v>
      </c>
      <c r="M185" s="19" t="n">
        <f aca="false">IF(G185="To be found",COUNTIF($E$2:$E$9999,E185),COUNTIF($G$2:$G$9999,G185))</f>
        <v>3</v>
      </c>
      <c r="N185" s="25"/>
      <c r="O185" s="25" t="s">
        <v>8</v>
      </c>
      <c r="P185" s="26" t="n">
        <v>0</v>
      </c>
      <c r="Q185" s="27"/>
      <c r="R185" s="25"/>
      <c r="S185" s="27"/>
      <c r="T185" s="28"/>
      <c r="U185" s="18" t="s">
        <v>1408</v>
      </c>
      <c r="V185" s="29" t="n">
        <v>45897</v>
      </c>
      <c r="W185" s="18" t="s">
        <v>1060</v>
      </c>
      <c r="X185" s="23" t="s">
        <v>1061</v>
      </c>
      <c r="Y185" s="18" t="s">
        <v>1343</v>
      </c>
      <c r="Z185" s="18" t="s">
        <v>254</v>
      </c>
      <c r="AA185" s="18" t="s">
        <v>1409</v>
      </c>
      <c r="AB185" s="18" t="s">
        <v>151</v>
      </c>
      <c r="AC185" s="18"/>
    </row>
    <row r="186" customFormat="false" ht="30" hidden="false" customHeight="true" outlineLevel="0" collapsed="false">
      <c r="A186" s="18" t="s">
        <v>1410</v>
      </c>
      <c r="B186" s="19" t="n">
        <v>1</v>
      </c>
      <c r="C186" s="20" t="str">
        <f aca="false">IF(L186="","C",IF(L186&gt;=Lists!$I$2,"A",IF(L186&gt;=Lists!$I$3,"B","C")))</f>
        <v>C</v>
      </c>
      <c r="D186" s="21" t="s">
        <v>137</v>
      </c>
      <c r="E186" s="22" t="s">
        <v>1411</v>
      </c>
      <c r="F186" s="18" t="s">
        <v>1412</v>
      </c>
      <c r="G186" s="23" t="s">
        <v>1413</v>
      </c>
      <c r="H186" s="23" t="s">
        <v>1414</v>
      </c>
      <c r="I186" s="21" t="s">
        <v>1415</v>
      </c>
      <c r="J186" s="18" t="s">
        <v>1155</v>
      </c>
      <c r="K186" s="18" t="s">
        <v>43</v>
      </c>
      <c r="L186" s="24" t="n">
        <v>70000</v>
      </c>
      <c r="M186" s="19" t="n">
        <f aca="false">IF(G186="To be found",COUNTIF($E$2:$E$9999,E186),COUNTIF($G$2:$G$9999,G186))</f>
        <v>1</v>
      </c>
      <c r="N186" s="25"/>
      <c r="O186" s="25" t="s">
        <v>8</v>
      </c>
      <c r="P186" s="26" t="n">
        <v>0</v>
      </c>
      <c r="Q186" s="27"/>
      <c r="R186" s="25"/>
      <c r="S186" s="27"/>
      <c r="T186" s="28"/>
      <c r="U186" s="18" t="s">
        <v>1416</v>
      </c>
      <c r="V186" s="29" t="n">
        <v>45897</v>
      </c>
      <c r="W186" s="18" t="s">
        <v>1417</v>
      </c>
      <c r="X186" s="23" t="s">
        <v>1418</v>
      </c>
      <c r="Y186" s="18" t="s">
        <v>1159</v>
      </c>
      <c r="Z186" s="18" t="s">
        <v>149</v>
      </c>
      <c r="AA186" s="18" t="s">
        <v>1419</v>
      </c>
      <c r="AB186" s="18" t="s">
        <v>151</v>
      </c>
      <c r="AC186" s="18"/>
    </row>
    <row r="187" customFormat="false" ht="30" hidden="false" customHeight="true" outlineLevel="0" collapsed="false">
      <c r="A187" s="18" t="s">
        <v>1410</v>
      </c>
      <c r="B187" s="19" t="n">
        <v>1</v>
      </c>
      <c r="C187" s="20" t="str">
        <f aca="false">IF(L187="","C",IF(L187&gt;=Lists!$I$2,"A",IF(L187&gt;=Lists!$I$3,"B","C")))</f>
        <v>C</v>
      </c>
      <c r="D187" s="21" t="s">
        <v>97</v>
      </c>
      <c r="E187" s="22" t="s">
        <v>829</v>
      </c>
      <c r="F187" s="18" t="s">
        <v>830</v>
      </c>
      <c r="G187" s="23" t="s">
        <v>831</v>
      </c>
      <c r="H187" s="23" t="s">
        <v>832</v>
      </c>
      <c r="I187" s="21" t="s">
        <v>1415</v>
      </c>
      <c r="J187" s="18" t="s">
        <v>1155</v>
      </c>
      <c r="K187" s="18" t="s">
        <v>43</v>
      </c>
      <c r="L187" s="24" t="n">
        <v>70000</v>
      </c>
      <c r="M187" s="19" t="n">
        <f aca="false">IF(G187="To be found",COUNTIF($E$2:$E$9999,E187),COUNTIF($G$2:$G$9999,G187))</f>
        <v>5</v>
      </c>
      <c r="N187" s="25"/>
      <c r="O187" s="25" t="s">
        <v>8</v>
      </c>
      <c r="P187" s="26" t="n">
        <v>0</v>
      </c>
      <c r="Q187" s="27"/>
      <c r="R187" s="25"/>
      <c r="S187" s="27"/>
      <c r="T187" s="28"/>
      <c r="U187" s="18" t="s">
        <v>1416</v>
      </c>
      <c r="V187" s="29" t="n">
        <v>45897</v>
      </c>
      <c r="W187" s="18" t="s">
        <v>833</v>
      </c>
      <c r="X187" s="23" t="s">
        <v>834</v>
      </c>
      <c r="Y187" s="18" t="s">
        <v>1159</v>
      </c>
      <c r="Z187" s="18" t="s">
        <v>149</v>
      </c>
      <c r="AA187" s="18" t="s">
        <v>1419</v>
      </c>
      <c r="AB187" s="18" t="s">
        <v>151</v>
      </c>
      <c r="AC187" s="18"/>
    </row>
    <row r="188" customFormat="false" ht="30" hidden="false" customHeight="true" outlineLevel="0" collapsed="false">
      <c r="A188" s="18" t="s">
        <v>1420</v>
      </c>
      <c r="B188" s="19" t="n">
        <v>1</v>
      </c>
      <c r="C188" s="20" t="str">
        <f aca="false">IF(L188="","C",IF(L188&gt;=Lists!$I$2,"A",IF(L188&gt;=Lists!$I$3,"B","C")))</f>
        <v>A</v>
      </c>
      <c r="D188" s="21" t="s">
        <v>137</v>
      </c>
      <c r="E188" s="22" t="s">
        <v>1421</v>
      </c>
      <c r="F188" s="18" t="s">
        <v>1422</v>
      </c>
      <c r="G188" s="23" t="s">
        <v>1423</v>
      </c>
      <c r="H188" s="23" t="s">
        <v>1424</v>
      </c>
      <c r="I188" s="21" t="s">
        <v>1425</v>
      </c>
      <c r="J188" s="18" t="s">
        <v>852</v>
      </c>
      <c r="K188" s="18" t="s">
        <v>43</v>
      </c>
      <c r="L188" s="24" t="n">
        <v>500000</v>
      </c>
      <c r="M188" s="19" t="n">
        <f aca="false">IF(G188="To be found",COUNTIF($E$2:$E$9999,E188),COUNTIF($G$2:$G$9999,G188))</f>
        <v>1</v>
      </c>
      <c r="N188" s="25"/>
      <c r="O188" s="25" t="s">
        <v>8</v>
      </c>
      <c r="P188" s="26" t="n">
        <v>0</v>
      </c>
      <c r="Q188" s="27"/>
      <c r="R188" s="25"/>
      <c r="S188" s="27"/>
      <c r="T188" s="28"/>
      <c r="U188" s="18" t="s">
        <v>1426</v>
      </c>
      <c r="V188" s="29" t="n">
        <v>46056</v>
      </c>
      <c r="W188" s="18" t="s">
        <v>1427</v>
      </c>
      <c r="X188" s="23" t="s">
        <v>1428</v>
      </c>
      <c r="Y188" s="18" t="s">
        <v>1429</v>
      </c>
      <c r="Z188" s="18" t="s">
        <v>149</v>
      </c>
      <c r="AA188" s="18" t="s">
        <v>1430</v>
      </c>
      <c r="AB188" s="18" t="s">
        <v>151</v>
      </c>
      <c r="AC188" s="18"/>
    </row>
    <row r="189" customFormat="false" ht="30" hidden="false" customHeight="true" outlineLevel="0" collapsed="false">
      <c r="A189" s="18" t="s">
        <v>1420</v>
      </c>
      <c r="B189" s="19" t="n">
        <v>1</v>
      </c>
      <c r="C189" s="20" t="str">
        <f aca="false">IF(L189="","C",IF(L189&gt;=Lists!$I$2,"A",IF(L189&gt;=Lists!$I$3,"B","C")))</f>
        <v>A</v>
      </c>
      <c r="D189" s="21" t="s">
        <v>97</v>
      </c>
      <c r="E189" s="22" t="s">
        <v>1431</v>
      </c>
      <c r="F189" s="18" t="s">
        <v>1432</v>
      </c>
      <c r="G189" s="23" t="s">
        <v>1433</v>
      </c>
      <c r="H189" s="23" t="s">
        <v>1434</v>
      </c>
      <c r="I189" s="21" t="s">
        <v>1425</v>
      </c>
      <c r="J189" s="18" t="s">
        <v>852</v>
      </c>
      <c r="K189" s="18" t="s">
        <v>43</v>
      </c>
      <c r="L189" s="24" t="n">
        <v>500000</v>
      </c>
      <c r="M189" s="19" t="n">
        <f aca="false">IF(G189="To be found",COUNTIF($E$2:$E$9999,E189),COUNTIF($G$2:$G$9999,G189))</f>
        <v>1</v>
      </c>
      <c r="N189" s="25"/>
      <c r="O189" s="25" t="s">
        <v>8</v>
      </c>
      <c r="P189" s="26" t="n">
        <v>0</v>
      </c>
      <c r="Q189" s="27"/>
      <c r="R189" s="25"/>
      <c r="S189" s="27"/>
      <c r="T189" s="28"/>
      <c r="U189" s="18" t="s">
        <v>1426</v>
      </c>
      <c r="V189" s="29" t="n">
        <v>46056</v>
      </c>
      <c r="W189" s="18" t="s">
        <v>1435</v>
      </c>
      <c r="X189" s="23" t="s">
        <v>1436</v>
      </c>
      <c r="Y189" s="18" t="s">
        <v>1429</v>
      </c>
      <c r="Z189" s="18" t="s">
        <v>149</v>
      </c>
      <c r="AA189" s="18" t="s">
        <v>1430</v>
      </c>
      <c r="AB189" s="18" t="s">
        <v>151</v>
      </c>
      <c r="AC189" s="18"/>
    </row>
    <row r="190" customFormat="false" ht="30" hidden="false" customHeight="true" outlineLevel="0" collapsed="false">
      <c r="A190" s="18" t="s">
        <v>1437</v>
      </c>
      <c r="B190" s="19" t="n">
        <v>1</v>
      </c>
      <c r="C190" s="20" t="str">
        <f aca="false">IF(L190="","C",IF(L190&gt;=Lists!$I$2,"A",IF(L190&gt;=Lists!$I$3,"B","C")))</f>
        <v>C</v>
      </c>
      <c r="D190" s="21" t="s">
        <v>137</v>
      </c>
      <c r="E190" s="22" t="s">
        <v>411</v>
      </c>
      <c r="F190" s="18" t="s">
        <v>1438</v>
      </c>
      <c r="G190" s="23" t="s">
        <v>413</v>
      </c>
      <c r="H190" s="23" t="s">
        <v>414</v>
      </c>
      <c r="I190" s="21" t="s">
        <v>1439</v>
      </c>
      <c r="J190" s="18" t="s">
        <v>1094</v>
      </c>
      <c r="K190" s="18" t="s">
        <v>43</v>
      </c>
      <c r="L190" s="24" t="n">
        <v>90000</v>
      </c>
      <c r="M190" s="19" t="n">
        <f aca="false">IF(G190="To be found",COUNTIF($E$2:$E$9999,E190),COUNTIF($G$2:$G$9999,G190))</f>
        <v>2</v>
      </c>
      <c r="N190" s="25"/>
      <c r="O190" s="25" t="s">
        <v>8</v>
      </c>
      <c r="P190" s="26" t="n">
        <v>0</v>
      </c>
      <c r="Q190" s="27"/>
      <c r="R190" s="25"/>
      <c r="S190" s="27"/>
      <c r="T190" s="28"/>
      <c r="U190" s="18" t="s">
        <v>1440</v>
      </c>
      <c r="V190" s="29" t="n">
        <v>45943</v>
      </c>
      <c r="W190" s="18" t="s">
        <v>418</v>
      </c>
      <c r="X190" s="23" t="s">
        <v>419</v>
      </c>
      <c r="Y190" s="18" t="s">
        <v>1441</v>
      </c>
      <c r="Z190" s="18" t="s">
        <v>149</v>
      </c>
      <c r="AA190" s="18" t="s">
        <v>1442</v>
      </c>
      <c r="AB190" s="18" t="s">
        <v>151</v>
      </c>
      <c r="AC190" s="18"/>
    </row>
    <row r="191" customFormat="false" ht="30" hidden="false" customHeight="true" outlineLevel="0" collapsed="false">
      <c r="A191" s="18" t="s">
        <v>1437</v>
      </c>
      <c r="B191" s="19" t="n">
        <v>1</v>
      </c>
      <c r="C191" s="20" t="str">
        <f aca="false">IF(L191="","C",IF(L191&gt;=Lists!$I$2,"A",IF(L191&gt;=Lists!$I$3,"B","C")))</f>
        <v>C</v>
      </c>
      <c r="D191" s="21" t="s">
        <v>97</v>
      </c>
      <c r="E191" s="22" t="s">
        <v>829</v>
      </c>
      <c r="F191" s="18" t="s">
        <v>830</v>
      </c>
      <c r="G191" s="23" t="s">
        <v>831</v>
      </c>
      <c r="H191" s="23" t="s">
        <v>832</v>
      </c>
      <c r="I191" s="21" t="s">
        <v>1439</v>
      </c>
      <c r="J191" s="18" t="s">
        <v>1094</v>
      </c>
      <c r="K191" s="18" t="s">
        <v>43</v>
      </c>
      <c r="L191" s="24" t="n">
        <v>90000</v>
      </c>
      <c r="M191" s="19" t="n">
        <f aca="false">IF(G191="To be found",COUNTIF($E$2:$E$9999,E191),COUNTIF($G$2:$G$9999,G191))</f>
        <v>5</v>
      </c>
      <c r="N191" s="25"/>
      <c r="O191" s="25" t="s">
        <v>8</v>
      </c>
      <c r="P191" s="26" t="n">
        <v>0</v>
      </c>
      <c r="Q191" s="27"/>
      <c r="R191" s="25"/>
      <c r="S191" s="27"/>
      <c r="T191" s="28"/>
      <c r="U191" s="18" t="s">
        <v>1440</v>
      </c>
      <c r="V191" s="29" t="n">
        <v>45943</v>
      </c>
      <c r="W191" s="18" t="s">
        <v>833</v>
      </c>
      <c r="X191" s="23" t="s">
        <v>834</v>
      </c>
      <c r="Y191" s="18" t="s">
        <v>1441</v>
      </c>
      <c r="Z191" s="18" t="s">
        <v>149</v>
      </c>
      <c r="AA191" s="18" t="s">
        <v>1442</v>
      </c>
      <c r="AB191" s="18" t="s">
        <v>151</v>
      </c>
      <c r="AC191" s="18"/>
    </row>
    <row r="192" customFormat="false" ht="30" hidden="false" customHeight="true" outlineLevel="0" collapsed="false">
      <c r="A192" s="18" t="s">
        <v>1443</v>
      </c>
      <c r="B192" s="19" t="n">
        <v>1</v>
      </c>
      <c r="C192" s="20" t="str">
        <f aca="false">IF(L192="","C",IF(L192&gt;=Lists!$I$2,"A",IF(L192&gt;=Lists!$I$3,"B","C")))</f>
        <v>B</v>
      </c>
      <c r="D192" s="21" t="s">
        <v>137</v>
      </c>
      <c r="E192" s="22" t="s">
        <v>1444</v>
      </c>
      <c r="F192" s="18" t="s">
        <v>1445</v>
      </c>
      <c r="G192" s="23" t="s">
        <v>1446</v>
      </c>
      <c r="H192" s="23" t="s">
        <v>1447</v>
      </c>
      <c r="I192" s="21" t="s">
        <v>1448</v>
      </c>
      <c r="J192" s="18" t="s">
        <v>569</v>
      </c>
      <c r="K192" s="18" t="s">
        <v>43</v>
      </c>
      <c r="L192" s="24" t="n">
        <v>200000</v>
      </c>
      <c r="M192" s="19" t="n">
        <f aca="false">IF(G192="To be found",COUNTIF($E$2:$E$9999,E192),COUNTIF($G$2:$G$9999,G192))</f>
        <v>1</v>
      </c>
      <c r="N192" s="25"/>
      <c r="O192" s="25" t="s">
        <v>8</v>
      </c>
      <c r="P192" s="26" t="n">
        <v>0</v>
      </c>
      <c r="Q192" s="27"/>
      <c r="R192" s="25"/>
      <c r="S192" s="27"/>
      <c r="T192" s="28"/>
      <c r="U192" s="18" t="s">
        <v>1449</v>
      </c>
      <c r="V192" s="29" t="n">
        <v>45945</v>
      </c>
      <c r="W192" s="18" t="s">
        <v>1450</v>
      </c>
      <c r="X192" s="23" t="s">
        <v>1451</v>
      </c>
      <c r="Y192" s="18" t="s">
        <v>1452</v>
      </c>
      <c r="Z192" s="18" t="s">
        <v>149</v>
      </c>
      <c r="AA192" s="18" t="s">
        <v>1453</v>
      </c>
      <c r="AB192" s="18" t="s">
        <v>151</v>
      </c>
      <c r="AC192" s="18"/>
    </row>
    <row r="193" customFormat="false" ht="30" hidden="false" customHeight="true" outlineLevel="0" collapsed="false">
      <c r="A193" s="18" t="s">
        <v>1443</v>
      </c>
      <c r="B193" s="19" t="n">
        <v>1</v>
      </c>
      <c r="C193" s="20" t="str">
        <f aca="false">IF(L193="","C",IF(L193&gt;=Lists!$I$2,"A",IF(L193&gt;=Lists!$I$3,"B","C")))</f>
        <v>B</v>
      </c>
      <c r="D193" s="21" t="s">
        <v>97</v>
      </c>
      <c r="E193" s="22" t="s">
        <v>1454</v>
      </c>
      <c r="F193" s="18" t="s">
        <v>1455</v>
      </c>
      <c r="G193" s="30" t="s">
        <v>153</v>
      </c>
      <c r="H193" s="23" t="s">
        <v>1456</v>
      </c>
      <c r="I193" s="21" t="s">
        <v>1448</v>
      </c>
      <c r="J193" s="18" t="s">
        <v>569</v>
      </c>
      <c r="K193" s="18" t="s">
        <v>43</v>
      </c>
      <c r="L193" s="24" t="n">
        <v>200000</v>
      </c>
      <c r="M193" s="19" t="n">
        <f aca="false">IF(G193="To be found",COUNTIF($E$2:$E$9999,E193),COUNTIF($G$2:$G$9999,G193))</f>
        <v>1</v>
      </c>
      <c r="N193" s="25"/>
      <c r="O193" s="25" t="s">
        <v>8</v>
      </c>
      <c r="P193" s="26" t="n">
        <v>0</v>
      </c>
      <c r="Q193" s="27"/>
      <c r="R193" s="25"/>
      <c r="S193" s="27"/>
      <c r="T193" s="28"/>
      <c r="U193" s="18" t="s">
        <v>1449</v>
      </c>
      <c r="V193" s="29" t="n">
        <v>45945</v>
      </c>
      <c r="W193" s="18" t="s">
        <v>1457</v>
      </c>
      <c r="X193" s="23" t="s">
        <v>1458</v>
      </c>
      <c r="Y193" s="18" t="s">
        <v>1452</v>
      </c>
      <c r="Z193" s="18" t="s">
        <v>149</v>
      </c>
      <c r="AA193" s="18" t="s">
        <v>1453</v>
      </c>
      <c r="AB193" s="18" t="s">
        <v>151</v>
      </c>
      <c r="AC193" s="18"/>
    </row>
    <row r="194" customFormat="false" ht="30" hidden="false" customHeight="true" outlineLevel="0" collapsed="false">
      <c r="A194" s="18" t="s">
        <v>1459</v>
      </c>
      <c r="B194" s="19" t="n">
        <v>1</v>
      </c>
      <c r="C194" s="20" t="str">
        <f aca="false">IF(L194="","C",IF(L194&gt;=Lists!$I$2,"A",IF(L194&gt;=Lists!$I$3,"B","C")))</f>
        <v>C</v>
      </c>
      <c r="D194" s="21" t="s">
        <v>137</v>
      </c>
      <c r="E194" s="22" t="s">
        <v>1460</v>
      </c>
      <c r="F194" s="18" t="s">
        <v>1461</v>
      </c>
      <c r="G194" s="23" t="s">
        <v>1462</v>
      </c>
      <c r="H194" s="18"/>
      <c r="I194" s="21" t="s">
        <v>1463</v>
      </c>
      <c r="J194" s="18" t="s">
        <v>156</v>
      </c>
      <c r="K194" s="18" t="s">
        <v>43</v>
      </c>
      <c r="L194" s="24" t="n">
        <v>70000</v>
      </c>
      <c r="M194" s="19" t="n">
        <f aca="false">IF(G194="To be found",COUNTIF($E$2:$E$9999,E194),COUNTIF($G$2:$G$9999,G194))</f>
        <v>1</v>
      </c>
      <c r="N194" s="25"/>
      <c r="O194" s="25" t="s">
        <v>8</v>
      </c>
      <c r="P194" s="26" t="n">
        <v>0</v>
      </c>
      <c r="Q194" s="27"/>
      <c r="R194" s="25"/>
      <c r="S194" s="27"/>
      <c r="T194" s="28"/>
      <c r="U194" s="18" t="s">
        <v>1464</v>
      </c>
      <c r="V194" s="29" t="n">
        <v>45946</v>
      </c>
      <c r="W194" s="18" t="s">
        <v>1465</v>
      </c>
      <c r="X194" s="23" t="s">
        <v>1466</v>
      </c>
      <c r="Y194" s="18" t="s">
        <v>1467</v>
      </c>
      <c r="Z194" s="18" t="s">
        <v>149</v>
      </c>
      <c r="AA194" s="18" t="s">
        <v>1468</v>
      </c>
      <c r="AB194" s="18" t="s">
        <v>151</v>
      </c>
      <c r="AC194" s="18"/>
    </row>
    <row r="195" customFormat="false" ht="30" hidden="false" customHeight="true" outlineLevel="0" collapsed="false">
      <c r="A195" s="18" t="s">
        <v>1469</v>
      </c>
      <c r="B195" s="19" t="n">
        <v>1</v>
      </c>
      <c r="C195" s="20" t="str">
        <f aca="false">IF(L195="","C",IF(L195&gt;=Lists!$I$2,"A",IF(L195&gt;=Lists!$I$3,"B","C")))</f>
        <v>C</v>
      </c>
      <c r="D195" s="21" t="s">
        <v>137</v>
      </c>
      <c r="E195" s="22" t="s">
        <v>1470</v>
      </c>
      <c r="F195" s="18"/>
      <c r="G195" s="30" t="s">
        <v>153</v>
      </c>
      <c r="H195" s="18"/>
      <c r="I195" s="21" t="s">
        <v>1471</v>
      </c>
      <c r="J195" s="18" t="s">
        <v>156</v>
      </c>
      <c r="K195" s="18" t="s">
        <v>43</v>
      </c>
      <c r="L195" s="24" t="n">
        <v>90000</v>
      </c>
      <c r="M195" s="19" t="n">
        <f aca="false">IF(G195="To be found",COUNTIF($E$2:$E$9999,E195),COUNTIF($G$2:$G$9999,G195))</f>
        <v>1</v>
      </c>
      <c r="N195" s="25"/>
      <c r="O195" s="25" t="s">
        <v>8</v>
      </c>
      <c r="P195" s="26" t="n">
        <v>0</v>
      </c>
      <c r="Q195" s="27"/>
      <c r="R195" s="25"/>
      <c r="S195" s="27"/>
      <c r="T195" s="28"/>
      <c r="U195" s="18" t="s">
        <v>1472</v>
      </c>
      <c r="V195" s="29" t="n">
        <v>46063</v>
      </c>
      <c r="W195" s="18" t="s">
        <v>1473</v>
      </c>
      <c r="X195" s="18"/>
      <c r="Y195" s="18" t="s">
        <v>1473</v>
      </c>
      <c r="Z195" s="18" t="s">
        <v>1474</v>
      </c>
      <c r="AA195" s="18" t="s">
        <v>1475</v>
      </c>
      <c r="AB195" s="18" t="s">
        <v>151</v>
      </c>
      <c r="AC195" s="18"/>
    </row>
    <row r="196" customFormat="false" ht="30" hidden="false" customHeight="true" outlineLevel="0" collapsed="false">
      <c r="A196" s="18" t="s">
        <v>1469</v>
      </c>
      <c r="B196" s="19" t="n">
        <v>1</v>
      </c>
      <c r="C196" s="20" t="str">
        <f aca="false">IF(L196="","C",IF(L196&gt;=Lists!$I$2,"A",IF(L196&gt;=Lists!$I$3,"B","C")))</f>
        <v>C</v>
      </c>
      <c r="D196" s="21" t="s">
        <v>97</v>
      </c>
      <c r="E196" s="22" t="s">
        <v>1476</v>
      </c>
      <c r="F196" s="18" t="s">
        <v>1477</v>
      </c>
      <c r="G196" s="30" t="s">
        <v>153</v>
      </c>
      <c r="H196" s="18"/>
      <c r="I196" s="21" t="s">
        <v>1471</v>
      </c>
      <c r="J196" s="18" t="s">
        <v>156</v>
      </c>
      <c r="K196" s="18" t="s">
        <v>43</v>
      </c>
      <c r="L196" s="24" t="n">
        <v>90000</v>
      </c>
      <c r="M196" s="19" t="n">
        <f aca="false">IF(G196="To be found",COUNTIF($E$2:$E$9999,E196),COUNTIF($G$2:$G$9999,G196))</f>
        <v>1</v>
      </c>
      <c r="N196" s="25"/>
      <c r="O196" s="25" t="s">
        <v>8</v>
      </c>
      <c r="P196" s="26" t="n">
        <v>0</v>
      </c>
      <c r="Q196" s="27"/>
      <c r="R196" s="25"/>
      <c r="S196" s="27"/>
      <c r="T196" s="28"/>
      <c r="U196" s="18" t="s">
        <v>1472</v>
      </c>
      <c r="V196" s="29" t="n">
        <v>46063</v>
      </c>
      <c r="W196" s="18" t="s">
        <v>1478</v>
      </c>
      <c r="X196" s="18"/>
      <c r="Y196" s="18" t="s">
        <v>1473</v>
      </c>
      <c r="Z196" s="18" t="s">
        <v>1474</v>
      </c>
      <c r="AA196" s="18" t="s">
        <v>1475</v>
      </c>
      <c r="AB196" s="18" t="s">
        <v>151</v>
      </c>
      <c r="AC196" s="18"/>
    </row>
    <row r="197" customFormat="false" ht="30" hidden="false" customHeight="true" outlineLevel="0" collapsed="false">
      <c r="A197" s="18" t="s">
        <v>1479</v>
      </c>
      <c r="B197" s="19" t="n">
        <v>1</v>
      </c>
      <c r="C197" s="20" t="str">
        <f aca="false">IF(L197="","C",IF(L197&gt;=Lists!$I$2,"A",IF(L197&gt;=Lists!$I$3,"B","C")))</f>
        <v>B</v>
      </c>
      <c r="D197" s="21" t="s">
        <v>137</v>
      </c>
      <c r="E197" s="22" t="s">
        <v>876</v>
      </c>
      <c r="F197" s="18"/>
      <c r="G197" s="30" t="s">
        <v>153</v>
      </c>
      <c r="H197" s="18"/>
      <c r="I197" s="21" t="s">
        <v>181</v>
      </c>
      <c r="J197" s="18" t="s">
        <v>569</v>
      </c>
      <c r="K197" s="18" t="s">
        <v>43</v>
      </c>
      <c r="L197" s="24" t="n">
        <v>150000</v>
      </c>
      <c r="M197" s="19" t="n">
        <f aca="false">IF(G197="To be found",COUNTIF($E$2:$E$9999,E197),COUNTIF($G$2:$G$9999,G197))</f>
        <v>2</v>
      </c>
      <c r="N197" s="25"/>
      <c r="O197" s="25" t="s">
        <v>8</v>
      </c>
      <c r="P197" s="26" t="n">
        <v>0</v>
      </c>
      <c r="Q197" s="27"/>
      <c r="R197" s="25"/>
      <c r="S197" s="27"/>
      <c r="T197" s="28"/>
      <c r="U197" s="18" t="s">
        <v>1480</v>
      </c>
      <c r="V197" s="29" t="n">
        <v>46065</v>
      </c>
      <c r="W197" s="18" t="s">
        <v>880</v>
      </c>
      <c r="X197" s="18"/>
      <c r="Y197" s="18" t="s">
        <v>1481</v>
      </c>
      <c r="Z197" s="18" t="s">
        <v>149</v>
      </c>
      <c r="AA197" s="18" t="s">
        <v>1482</v>
      </c>
      <c r="AB197" s="18" t="s">
        <v>151</v>
      </c>
      <c r="AC197" s="18"/>
    </row>
    <row r="198" customFormat="false" ht="30" hidden="false" customHeight="true" outlineLevel="0" collapsed="false">
      <c r="A198" s="18" t="s">
        <v>1479</v>
      </c>
      <c r="B198" s="19" t="n">
        <v>1</v>
      </c>
      <c r="C198" s="20" t="str">
        <f aca="false">IF(L198="","C",IF(L198&gt;=Lists!$I$2,"A",IF(L198&gt;=Lists!$I$3,"B","C")))</f>
        <v>B</v>
      </c>
      <c r="D198" s="21" t="s">
        <v>97</v>
      </c>
      <c r="E198" s="22" t="s">
        <v>1483</v>
      </c>
      <c r="F198" s="18" t="s">
        <v>1484</v>
      </c>
      <c r="G198" s="23" t="s">
        <v>1485</v>
      </c>
      <c r="H198" s="23" t="s">
        <v>1486</v>
      </c>
      <c r="I198" s="21" t="s">
        <v>181</v>
      </c>
      <c r="J198" s="18" t="s">
        <v>569</v>
      </c>
      <c r="K198" s="18" t="s">
        <v>43</v>
      </c>
      <c r="L198" s="24" t="n">
        <v>150000</v>
      </c>
      <c r="M198" s="19" t="n">
        <f aca="false">IF(G198="To be found",COUNTIF($E$2:$E$9999,E198),COUNTIF($G$2:$G$9999,G198))</f>
        <v>1</v>
      </c>
      <c r="N198" s="25"/>
      <c r="O198" s="25" t="s">
        <v>8</v>
      </c>
      <c r="P198" s="26" t="n">
        <v>0</v>
      </c>
      <c r="Q198" s="27"/>
      <c r="R198" s="25"/>
      <c r="S198" s="27"/>
      <c r="T198" s="28"/>
      <c r="U198" s="18" t="s">
        <v>1480</v>
      </c>
      <c r="V198" s="29" t="n">
        <v>46065</v>
      </c>
      <c r="W198" s="18" t="s">
        <v>1487</v>
      </c>
      <c r="X198" s="23" t="s">
        <v>1488</v>
      </c>
      <c r="Y198" s="18" t="s">
        <v>1481</v>
      </c>
      <c r="Z198" s="18" t="s">
        <v>149</v>
      </c>
      <c r="AA198" s="18" t="s">
        <v>1482</v>
      </c>
      <c r="AB198" s="18" t="s">
        <v>151</v>
      </c>
      <c r="AC198" s="18"/>
    </row>
    <row r="199" customFormat="false" ht="30" hidden="false" customHeight="true" outlineLevel="0" collapsed="false">
      <c r="A199" s="18" t="s">
        <v>1489</v>
      </c>
      <c r="B199" s="19" t="n">
        <v>1</v>
      </c>
      <c r="C199" s="20" t="str">
        <f aca="false">IF(L199="","C",IF(L199&gt;=Lists!$I$2,"A",IF(L199&gt;=Lists!$I$3,"B","C")))</f>
        <v>B</v>
      </c>
      <c r="D199" s="21" t="s">
        <v>137</v>
      </c>
      <c r="E199" s="22" t="s">
        <v>1490</v>
      </c>
      <c r="F199" s="18" t="s">
        <v>1491</v>
      </c>
      <c r="G199" s="23" t="s">
        <v>1492</v>
      </c>
      <c r="H199" s="23" t="s">
        <v>1493</v>
      </c>
      <c r="I199" s="21" t="s">
        <v>1198</v>
      </c>
      <c r="J199" s="18" t="s">
        <v>416</v>
      </c>
      <c r="K199" s="18" t="s">
        <v>43</v>
      </c>
      <c r="L199" s="24" t="n">
        <v>150000</v>
      </c>
      <c r="M199" s="19" t="n">
        <f aca="false">IF(G199="To be found",COUNTIF($E$2:$E$9999,E199),COUNTIF($G$2:$G$9999,G199))</f>
        <v>1</v>
      </c>
      <c r="N199" s="25"/>
      <c r="O199" s="25" t="s">
        <v>8</v>
      </c>
      <c r="P199" s="26" t="n">
        <v>0</v>
      </c>
      <c r="Q199" s="27"/>
      <c r="R199" s="25"/>
      <c r="S199" s="27"/>
      <c r="T199" s="28"/>
      <c r="U199" s="18" t="s">
        <v>1494</v>
      </c>
      <c r="V199" s="29" t="n">
        <v>46065</v>
      </c>
      <c r="W199" s="18" t="s">
        <v>1495</v>
      </c>
      <c r="X199" s="23" t="s">
        <v>1496</v>
      </c>
      <c r="Y199" s="18" t="s">
        <v>1497</v>
      </c>
      <c r="Z199" s="18" t="s">
        <v>149</v>
      </c>
      <c r="AA199" s="18" t="s">
        <v>1498</v>
      </c>
      <c r="AB199" s="18" t="s">
        <v>151</v>
      </c>
      <c r="AC199" s="18"/>
    </row>
    <row r="200" customFormat="false" ht="30" hidden="false" customHeight="true" outlineLevel="0" collapsed="false">
      <c r="A200" s="18" t="s">
        <v>1489</v>
      </c>
      <c r="B200" s="19" t="n">
        <v>1</v>
      </c>
      <c r="C200" s="20" t="str">
        <f aca="false">IF(L200="","C",IF(L200&gt;=Lists!$I$2,"A",IF(L200&gt;=Lists!$I$3,"B","C")))</f>
        <v>B</v>
      </c>
      <c r="D200" s="21" t="s">
        <v>97</v>
      </c>
      <c r="E200" s="22" t="s">
        <v>1499</v>
      </c>
      <c r="F200" s="18" t="s">
        <v>1500</v>
      </c>
      <c r="G200" s="23" t="s">
        <v>1501</v>
      </c>
      <c r="H200" s="23" t="s">
        <v>1502</v>
      </c>
      <c r="I200" s="21" t="s">
        <v>1198</v>
      </c>
      <c r="J200" s="18" t="s">
        <v>416</v>
      </c>
      <c r="K200" s="18" t="s">
        <v>43</v>
      </c>
      <c r="L200" s="24" t="n">
        <v>150000</v>
      </c>
      <c r="M200" s="19" t="n">
        <f aca="false">IF(G200="To be found",COUNTIF($E$2:$E$9999,E200),COUNTIF($G$2:$G$9999,G200))</f>
        <v>1</v>
      </c>
      <c r="N200" s="25"/>
      <c r="O200" s="25" t="s">
        <v>8</v>
      </c>
      <c r="P200" s="26" t="n">
        <v>0</v>
      </c>
      <c r="Q200" s="27"/>
      <c r="R200" s="25"/>
      <c r="S200" s="27"/>
      <c r="T200" s="28"/>
      <c r="U200" s="18" t="s">
        <v>1494</v>
      </c>
      <c r="V200" s="29" t="n">
        <v>46065</v>
      </c>
      <c r="W200" s="18" t="s">
        <v>1497</v>
      </c>
      <c r="X200" s="23" t="s">
        <v>1503</v>
      </c>
      <c r="Y200" s="18" t="s">
        <v>1497</v>
      </c>
      <c r="Z200" s="18" t="s">
        <v>149</v>
      </c>
      <c r="AA200" s="18" t="s">
        <v>1498</v>
      </c>
      <c r="AB200" s="18" t="s">
        <v>151</v>
      </c>
      <c r="AC200" s="18"/>
    </row>
    <row r="201" customFormat="false" ht="30" hidden="false" customHeight="true" outlineLevel="0" collapsed="false">
      <c r="A201" s="18" t="s">
        <v>1504</v>
      </c>
      <c r="B201" s="19" t="n">
        <v>1</v>
      </c>
      <c r="C201" s="20" t="str">
        <f aca="false">IF(L201="","C",IF(L201&gt;=Lists!$I$2,"A",IF(L201&gt;=Lists!$I$3,"B","C")))</f>
        <v>C</v>
      </c>
      <c r="D201" s="21" t="s">
        <v>137</v>
      </c>
      <c r="E201" s="22" t="s">
        <v>1505</v>
      </c>
      <c r="F201" s="18" t="s">
        <v>1506</v>
      </c>
      <c r="G201" s="23" t="s">
        <v>1507</v>
      </c>
      <c r="H201" s="18"/>
      <c r="I201" s="21" t="s">
        <v>839</v>
      </c>
      <c r="J201" s="18" t="s">
        <v>569</v>
      </c>
      <c r="K201" s="18" t="s">
        <v>43</v>
      </c>
      <c r="L201" s="24" t="n">
        <v>90000</v>
      </c>
      <c r="M201" s="19" t="n">
        <f aca="false">IF(G201="To be found",COUNTIF($E$2:$E$9999,E201),COUNTIF($G$2:$G$9999,G201))</f>
        <v>1</v>
      </c>
      <c r="N201" s="25"/>
      <c r="O201" s="25" t="s">
        <v>8</v>
      </c>
      <c r="P201" s="26" t="n">
        <v>0</v>
      </c>
      <c r="Q201" s="27"/>
      <c r="R201" s="25"/>
      <c r="S201" s="27"/>
      <c r="T201" s="28"/>
      <c r="U201" s="18" t="s">
        <v>1508</v>
      </c>
      <c r="V201" s="29" t="n">
        <v>46066</v>
      </c>
      <c r="W201" s="18" t="s">
        <v>1509</v>
      </c>
      <c r="X201" s="23" t="s">
        <v>1510</v>
      </c>
      <c r="Y201" s="18" t="s">
        <v>1511</v>
      </c>
      <c r="Z201" s="18" t="s">
        <v>149</v>
      </c>
      <c r="AA201" s="18" t="s">
        <v>845</v>
      </c>
      <c r="AB201" s="18" t="s">
        <v>151</v>
      </c>
      <c r="AC201" s="18"/>
    </row>
    <row r="202" customFormat="false" ht="30" hidden="false" customHeight="true" outlineLevel="0" collapsed="false">
      <c r="A202" s="18" t="s">
        <v>1504</v>
      </c>
      <c r="B202" s="19" t="n">
        <v>1</v>
      </c>
      <c r="C202" s="20" t="str">
        <f aca="false">IF(L202="","C",IF(L202&gt;=Lists!$I$2,"A",IF(L202&gt;=Lists!$I$3,"B","C")))</f>
        <v>C</v>
      </c>
      <c r="D202" s="21" t="s">
        <v>97</v>
      </c>
      <c r="E202" s="22" t="s">
        <v>168</v>
      </c>
      <c r="F202" s="18" t="s">
        <v>575</v>
      </c>
      <c r="G202" s="23" t="s">
        <v>170</v>
      </c>
      <c r="H202" s="23" t="s">
        <v>171</v>
      </c>
      <c r="I202" s="21" t="s">
        <v>839</v>
      </c>
      <c r="J202" s="18" t="s">
        <v>569</v>
      </c>
      <c r="K202" s="18" t="s">
        <v>43</v>
      </c>
      <c r="L202" s="24" t="n">
        <v>90000</v>
      </c>
      <c r="M202" s="19" t="n">
        <f aca="false">IF(G202="To be found",COUNTIF($E$2:$E$9999,E202),COUNTIF($G$2:$G$9999,G202))</f>
        <v>4</v>
      </c>
      <c r="N202" s="25"/>
      <c r="O202" s="25" t="s">
        <v>8</v>
      </c>
      <c r="P202" s="26" t="n">
        <v>0</v>
      </c>
      <c r="Q202" s="27"/>
      <c r="R202" s="25"/>
      <c r="S202" s="27"/>
      <c r="T202" s="28"/>
      <c r="U202" s="18" t="s">
        <v>1508</v>
      </c>
      <c r="V202" s="29" t="n">
        <v>46066</v>
      </c>
      <c r="W202" s="18" t="s">
        <v>174</v>
      </c>
      <c r="X202" s="23" t="s">
        <v>175</v>
      </c>
      <c r="Y202" s="18" t="s">
        <v>1511</v>
      </c>
      <c r="Z202" s="18" t="s">
        <v>149</v>
      </c>
      <c r="AA202" s="18" t="s">
        <v>845</v>
      </c>
      <c r="AB202" s="18" t="s">
        <v>151</v>
      </c>
      <c r="AC202" s="18"/>
    </row>
    <row r="203" customFormat="false" ht="30" hidden="false" customHeight="true" outlineLevel="0" collapsed="false">
      <c r="A203" s="18" t="s">
        <v>1512</v>
      </c>
      <c r="B203" s="19" t="n">
        <v>1</v>
      </c>
      <c r="C203" s="20" t="str">
        <f aca="false">IF(L203="","C",IF(L203&gt;=Lists!$I$2,"A",IF(L203&gt;=Lists!$I$3,"B","C")))</f>
        <v>C</v>
      </c>
      <c r="D203" s="21" t="s">
        <v>97</v>
      </c>
      <c r="E203" s="22" t="s">
        <v>1513</v>
      </c>
      <c r="F203" s="18" t="s">
        <v>1514</v>
      </c>
      <c r="G203" s="23" t="s">
        <v>1515</v>
      </c>
      <c r="H203" s="23" t="s">
        <v>1516</v>
      </c>
      <c r="I203" s="21" t="s">
        <v>1517</v>
      </c>
      <c r="J203" s="18" t="s">
        <v>1518</v>
      </c>
      <c r="K203" s="18" t="s">
        <v>42</v>
      </c>
      <c r="L203" s="24" t="n">
        <v>30000</v>
      </c>
      <c r="M203" s="19" t="n">
        <f aca="false">IF(G203="To be found",COUNTIF($E$2:$E$9999,E203),COUNTIF($G$2:$G$9999,G203))</f>
        <v>1</v>
      </c>
      <c r="N203" s="25"/>
      <c r="O203" s="25" t="s">
        <v>8</v>
      </c>
      <c r="P203" s="26" t="n">
        <v>0</v>
      </c>
      <c r="Q203" s="27"/>
      <c r="R203" s="25"/>
      <c r="S203" s="27"/>
      <c r="T203" s="28"/>
      <c r="U203" s="18" t="s">
        <v>1519</v>
      </c>
      <c r="V203" s="29" t="n">
        <v>46045</v>
      </c>
      <c r="W203" s="18" t="s">
        <v>1520</v>
      </c>
      <c r="X203" s="23" t="s">
        <v>1521</v>
      </c>
      <c r="Y203" s="18" t="s">
        <v>1522</v>
      </c>
      <c r="Z203" s="18" t="s">
        <v>149</v>
      </c>
      <c r="AA203" s="18" t="s">
        <v>1523</v>
      </c>
      <c r="AB203" s="18" t="s">
        <v>151</v>
      </c>
      <c r="AC203" s="18"/>
    </row>
    <row r="204" customFormat="false" ht="30" hidden="false" customHeight="true" outlineLevel="0" collapsed="false">
      <c r="A204" s="18" t="s">
        <v>1524</v>
      </c>
      <c r="B204" s="19" t="n">
        <v>1</v>
      </c>
      <c r="C204" s="20" t="str">
        <f aca="false">IF(L204="","C",IF(L204&gt;=Lists!$I$2,"A",IF(L204&gt;=Lists!$I$3,"B","C")))</f>
        <v>C</v>
      </c>
      <c r="D204" s="21" t="s">
        <v>137</v>
      </c>
      <c r="E204" s="22" t="s">
        <v>1525</v>
      </c>
      <c r="F204" s="18"/>
      <c r="G204" s="23" t="s">
        <v>1526</v>
      </c>
      <c r="H204" s="18"/>
      <c r="I204" s="21" t="s">
        <v>839</v>
      </c>
      <c r="J204" s="18" t="s">
        <v>1527</v>
      </c>
      <c r="K204" s="18" t="s">
        <v>43</v>
      </c>
      <c r="L204" s="24" t="n">
        <v>90000</v>
      </c>
      <c r="M204" s="19" t="n">
        <f aca="false">IF(G204="To be found",COUNTIF($E$2:$E$9999,E204),COUNTIF($G$2:$G$9999,G204))</f>
        <v>1</v>
      </c>
      <c r="N204" s="25"/>
      <c r="O204" s="25" t="s">
        <v>8</v>
      </c>
      <c r="P204" s="26" t="n">
        <v>0</v>
      </c>
      <c r="Q204" s="27"/>
      <c r="R204" s="25"/>
      <c r="S204" s="27"/>
      <c r="T204" s="28"/>
      <c r="U204" s="18" t="s">
        <v>1528</v>
      </c>
      <c r="V204" s="29" t="n">
        <v>46051</v>
      </c>
      <c r="W204" s="18" t="s">
        <v>1529</v>
      </c>
      <c r="X204" s="18"/>
      <c r="Y204" s="18" t="s">
        <v>1530</v>
      </c>
      <c r="Z204" s="18" t="s">
        <v>149</v>
      </c>
      <c r="AA204" s="18" t="s">
        <v>1531</v>
      </c>
      <c r="AB204" s="18" t="s">
        <v>151</v>
      </c>
      <c r="AC204" s="18"/>
    </row>
    <row r="205" customFormat="false" ht="30" hidden="false" customHeight="true" outlineLevel="0" collapsed="false">
      <c r="A205" s="18" t="s">
        <v>1524</v>
      </c>
      <c r="B205" s="19" t="n">
        <v>1</v>
      </c>
      <c r="C205" s="20" t="str">
        <f aca="false">IF(L205="","C",IF(L205&gt;=Lists!$I$2,"A",IF(L205&gt;=Lists!$I$3,"B","C")))</f>
        <v>C</v>
      </c>
      <c r="D205" s="21" t="s">
        <v>97</v>
      </c>
      <c r="E205" s="22" t="s">
        <v>1532</v>
      </c>
      <c r="F205" s="18" t="s">
        <v>1533</v>
      </c>
      <c r="G205" s="23" t="s">
        <v>1534</v>
      </c>
      <c r="H205" s="23" t="s">
        <v>1535</v>
      </c>
      <c r="I205" s="21" t="s">
        <v>839</v>
      </c>
      <c r="J205" s="18" t="s">
        <v>1527</v>
      </c>
      <c r="K205" s="18" t="s">
        <v>43</v>
      </c>
      <c r="L205" s="24" t="n">
        <v>90000</v>
      </c>
      <c r="M205" s="19" t="n">
        <f aca="false">IF(G205="To be found",COUNTIF($E$2:$E$9999,E205),COUNTIF($G$2:$G$9999,G205))</f>
        <v>1</v>
      </c>
      <c r="N205" s="25"/>
      <c r="O205" s="25" t="s">
        <v>8</v>
      </c>
      <c r="P205" s="26" t="n">
        <v>0</v>
      </c>
      <c r="Q205" s="27"/>
      <c r="R205" s="25"/>
      <c r="S205" s="27"/>
      <c r="T205" s="28"/>
      <c r="U205" s="18" t="s">
        <v>1528</v>
      </c>
      <c r="V205" s="29" t="n">
        <v>46051</v>
      </c>
      <c r="W205" s="18" t="s">
        <v>1536</v>
      </c>
      <c r="X205" s="23" t="s">
        <v>1537</v>
      </c>
      <c r="Y205" s="18" t="s">
        <v>1530</v>
      </c>
      <c r="Z205" s="18" t="s">
        <v>149</v>
      </c>
      <c r="AA205" s="18" t="s">
        <v>1531</v>
      </c>
      <c r="AB205" s="18" t="s">
        <v>151</v>
      </c>
      <c r="AC205" s="18"/>
    </row>
  </sheetData>
  <conditionalFormatting sqref="A2:AC705">
    <cfRule type="expression" priority="2" aboveAverage="0" equalAverage="0" bottom="0" percent="0" rank="0" text="" dxfId="10">
      <formula>OR($O2="Meeting booked",$O2="Quote requested")</formula>
    </cfRule>
    <cfRule type="expression" priority="3" aboveAverage="0" equalAverage="0" bottom="0" percent="0" rank="0" text="" dxfId="11">
      <formula>$O2="Interested"</formula>
    </cfRule>
    <cfRule type="expression" priority="4" aboveAverage="0" equalAverage="0" bottom="0" percent="0" rank="0" text="" dxfId="12">
      <formula>OR($O2="Not interested",$O2="Not a fit",$O2="Project completed / cancelled",$O2="Already has a supplier",$O2="Closed – no current need")</formula>
    </cfRule>
  </conditionalFormatting>
  <conditionalFormatting sqref="S2:S705">
    <cfRule type="expression" priority="5" aboveAverage="0" equalAverage="0" bottom="0" percent="0" rank="0" text="" dxfId="13">
      <formula>AND(S2&lt;&gt;"",S2&lt;=TODAY(),OR($O2="Call back",$O2="Follow-up by email",$O2="Interested",$O2="Quote requested",$O2="To call"))</formula>
    </cfRule>
  </conditionalFormatting>
  <conditionalFormatting sqref="C2:C705">
    <cfRule type="cellIs" priority="6" operator="equal" aboveAverage="0" equalAverage="0" bottom="0" percent="0" rank="0" text="" dxfId="14">
      <formula>"A"</formula>
    </cfRule>
    <cfRule type="cellIs" priority="7" operator="equal" aboveAverage="0" equalAverage="0" bottom="0" percent="0" rank="0" text="" dxfId="15">
      <formula>"B"</formula>
    </cfRule>
  </conditionalFormatting>
  <dataValidations count="6">
    <dataValidation allowBlank="true" error="This value is not in the list (Lists sheet). Keep it anyway?" errorStyle="warning" errorTitle="Unexpected value" operator="between" showDropDown="false" showErrorMessage="true" showInputMessage="false" sqref="N2:N705" type="list">
      <formula1>Lists!$A$2:$A$13</formula1>
      <formula2>0</formula2>
    </dataValidation>
    <dataValidation allowBlank="true" error="Pick a value from the list (Lists sheet)." errorStyle="stop" errorTitle="Unexpected value" operator="between" showDropDown="false" showErrorMessage="true" showInputMessage="false" sqref="O2:O705" type="list">
      <formula1>Lists!$C$2:$C$12</formula1>
      <formula2>0</formula2>
    </dataValidation>
    <dataValidation allowBlank="true" error="This value is not in the list (Lists sheet). Keep it anyway?" errorStyle="warning" errorTitle="Unexpected value" operator="between" showDropDown="false" showErrorMessage="true" showInputMessage="false" sqref="R2:R705" type="list">
      <formula1>Lists!$E$2:$E$9</formula1>
      <formula2>0</formula2>
    </dataValidation>
    <dataValidation allowBlank="true" error="Enter a date (dd/mm/yyyy)." errorStyle="stop" errorTitle="Invalid date" operator="greaterThan" showDropDown="false" showErrorMessage="true" showInputMessage="false" sqref="Q2:Q705" type="date">
      <formula1>DATE(2020,1,1)</formula1>
      <formula2>0</formula2>
    </dataValidation>
    <dataValidation allowBlank="true" error="Enter a date (dd/mm/yyyy)." errorStyle="stop" errorTitle="Invalid date" operator="greaterThan" showDropDown="false" showErrorMessage="true" showInputMessage="false" sqref="S2:S705" type="date">
      <formula1>DATE(2020,1,1)</formula1>
      <formula2>0</formula2>
    </dataValidation>
    <dataValidation allowBlank="true" errorStyle="stop" operator="between" showDropDown="false" showErrorMessage="false" showInputMessage="false" sqref="P2:P705" type="whole">
      <formula1>0</formula1>
      <formula2>50</formula2>
    </dataValidation>
  </dataValidations>
  <hyperlinks>
    <hyperlink ref="G2" r:id="rId2" display="022 307 99 00"/>
    <hyperlink ref="H2" r:id="rId3" display="info@yneo.ch"/>
    <hyperlink ref="X2" r:id="rId4" display="http://www.yneo.ch"/>
    <hyperlink ref="G5" r:id="rId5" display="022 869 88 44"/>
    <hyperlink ref="H5" r:id="rId6" display="admin@tjca.ch"/>
    <hyperlink ref="X5" r:id="rId7" display="http://www.tjca.ch"/>
    <hyperlink ref="G6" r:id="rId8" display="058 332 26 00"/>
    <hyperlink ref="H6" r:id="rId9" display="geneve@rundstedt.ch"/>
    <hyperlink ref="X6" r:id="rId10" display="http://www.rundstedt.ch"/>
    <hyperlink ref="G7" r:id="rId11" display="022 707 00 70"/>
    <hyperlink ref="H7" r:id="rId12" display="projets@ris-partenaires.ch"/>
    <hyperlink ref="X7" r:id="rId13" display="http://www.ris-partenaires.ch"/>
    <hyperlink ref="G8" r:id="rId14" display="021 804 96 40"/>
    <hyperlink ref="H8" r:id="rId15" display="greffe@morges.ch"/>
    <hyperlink ref="G9" r:id="rId16" display="021 811 10 10"/>
    <hyperlink ref="H9" r:id="rId17" display="info@farch.ch"/>
    <hyperlink ref="X9" r:id="rId18" display="http://www.farch.ch"/>
    <hyperlink ref="G11" r:id="rId19" display="026 564 20 20"/>
    <hyperlink ref="H11" r:id="rId20" display="info@doutaz-architecture.ch"/>
    <hyperlink ref="X11" r:id="rId21" display="http://www.doutaz-sa.ch"/>
    <hyperlink ref="G12" r:id="rId22" display="022 304 10 30"/>
    <hyperlink ref="H12" r:id="rId23" display="info@hiag.com"/>
    <hyperlink ref="X12" r:id="rId24" display="http://www.hiag.com"/>
    <hyperlink ref="G13" r:id="rId25" display="077 403 52 58"/>
    <hyperlink ref="H13" r:id="rId26" display="archi@studio116.ch"/>
    <hyperlink ref="G14" r:id="rId27" display="021 315 49 49"/>
    <hyperlink ref="G15" r:id="rId28" display="079 774 39 47"/>
    <hyperlink ref="H15" r:id="rId29" display="info@bcarre.ch"/>
    <hyperlink ref="X15" r:id="rId30" display="http://www.bcarre.ch"/>
    <hyperlink ref="G16" r:id="rId31" display="079 410 14 53"/>
    <hyperlink ref="G17" r:id="rId32" display="022 730 81 11"/>
    <hyperlink ref="H17" r:id="rId33" display="wmo@wmo.int"/>
    <hyperlink ref="X17" r:id="rId34" display="http://www.wmo.int"/>
    <hyperlink ref="G18" r:id="rId35" display="022 782 05 40"/>
    <hyperlink ref="H18" r:id="rId36" display="architectes-ch@groupe-h.com"/>
    <hyperlink ref="X18" r:id="rId37" display="http://www.groupe-h.com"/>
    <hyperlink ref="G20" r:id="rId38" display="077 985 29 64"/>
    <hyperlink ref="H20" r:id="rId39" display="info@ahdarchitecture.ch"/>
    <hyperlink ref="G21" r:id="rId40" display="079 450 52 78"/>
    <hyperlink ref="H21" r:id="rId41" display="info@top-stores.ch"/>
    <hyperlink ref="X21" r:id="rId42" display="http://www.top-stores.ch"/>
    <hyperlink ref="G22" r:id="rId43" display="032 422 15 23"/>
    <hyperlink ref="H22" r:id="rId44" display="info@gcomte.ch"/>
    <hyperlink ref="X22" r:id="rId45" display="http://www.360-comtesa.ch"/>
    <hyperlink ref="G23" r:id="rId46" display="026 673 21 74"/>
    <hyperlink ref="H23" r:id="rId47" display="info@braumann.ch"/>
    <hyperlink ref="X23" r:id="rId48" display="http://www.braumann.ch"/>
    <hyperlink ref="G24" r:id="rId49" display="026 673 03 63"/>
    <hyperlink ref="H24" r:id="rId50" display="info@aparchitectes.ch"/>
    <hyperlink ref="X24" r:id="rId51" display="http://www.atelierpulver.ch"/>
    <hyperlink ref="G25" r:id="rId52" display="022 732 15 94"/>
    <hyperlink ref="G26" r:id="rId53" display="022 732 15 94"/>
    <hyperlink ref="H26" r:id="rId54" display="info@balansemadeni.ch"/>
    <hyperlink ref="X26" r:id="rId55" display="http://www.balansemadeni.ch"/>
    <hyperlink ref="G27" r:id="rId56" display="022 546 62 15"/>
    <hyperlink ref="H27" r:id="rId57" display="infodcti@etat.ge.ch"/>
    <hyperlink ref="X27" r:id="rId58" display="http://www.ge.ch"/>
    <hyperlink ref="G28" r:id="rId59" display="022 546 62 00"/>
    <hyperlink ref="H28" r:id="rId60" display="ocbasac-marchespublics@etat.ge.ch"/>
    <hyperlink ref="X28" r:id="rId61" display="http://www.ge.ch"/>
    <hyperlink ref="G29" r:id="rId62" display="022 546 53 90"/>
    <hyperlink ref="G30" r:id="rId63" display="022 797 50 50"/>
    <hyperlink ref="G31" r:id="rId64" display="022 839 39 39"/>
    <hyperlink ref="X31" r:id="rId65" display="http://www.naef.ch"/>
    <hyperlink ref="G32" r:id="rId66" display="022 839 37 78"/>
    <hyperlink ref="H32" r:id="rId67" display="info@alios-sa.ch"/>
    <hyperlink ref="X32" r:id="rId68" display="http://www.alios-sa.ch"/>
    <hyperlink ref="G33" r:id="rId69" display="022 546 62 00"/>
    <hyperlink ref="H33" r:id="rId70" display="ocbasac-marchespublics@etat.ge.ch"/>
    <hyperlink ref="X33" r:id="rId71" display="http://www.ge.ch"/>
    <hyperlink ref="G34" r:id="rId72" display="022 827 62 00"/>
    <hyperlink ref="H34" r:id="rId73" display="contact@glaucolombardi.ch"/>
    <hyperlink ref="X34" r:id="rId74" display="http://www.glaucolombardi.ch"/>
    <hyperlink ref="G35" r:id="rId75" display="022 420 52 00"/>
    <hyperlink ref="H35" r:id="rId76" display="contact@hospicegeneral.ch"/>
    <hyperlink ref="X35" r:id="rId77" display="http://www.hospicegeneral.ch"/>
    <hyperlink ref="G36" r:id="rId78" display="022 575 61 20"/>
    <hyperlink ref="H36" r:id="rId79" display="info@bkst-architectes.ch"/>
    <hyperlink ref="X36" r:id="rId80" display="http://www.bkst-architectes.ch"/>
    <hyperlink ref="G37" r:id="rId81" display="022 372 33 11"/>
    <hyperlink ref="X37" r:id="rId82" display="http://www.hug-ge.ch"/>
    <hyperlink ref="G38" r:id="rId83" display="044 625 57 57"/>
    <hyperlink ref="H38" r:id="rId84" display="zuerich@psp.info"/>
    <hyperlink ref="X38" r:id="rId85" display="http://www.psp.info"/>
    <hyperlink ref="G39" r:id="rId86" display="022 738 09 33"/>
    <hyperlink ref="H39" r:id="rId87" display="atelier.g.a@bluewin.ch"/>
    <hyperlink ref="X39" r:id="rId88" display="http://www.belloyurdakul.ch"/>
    <hyperlink ref="G40" r:id="rId89" display="058 822 70 00"/>
    <hyperlink ref="H40" r:id="rId90" display="patricia.tirvaudey@labcorp.com"/>
    <hyperlink ref="X40" r:id="rId91" display="http://www.labcorp.com"/>
    <hyperlink ref="G41" r:id="rId92" display="022 592 92 40"/>
    <hyperlink ref="X41" r:id="rId93" display="http://www.ds-ar.ch"/>
    <hyperlink ref="G42" r:id="rId94" display="022 737 89 89"/>
    <hyperlink ref="H42" r:id="rId95" display="sfer@fidusfer.ch"/>
    <hyperlink ref="X42" r:id="rId96" display="http://www.fidusfer.ch"/>
    <hyperlink ref="G43" r:id="rId97" display="022 737 07 07"/>
    <hyperlink ref="H43" r:id="rId98" display="architectes@cerutti.net"/>
    <hyperlink ref="X43" r:id="rId99" display="http://www.cerutti.net"/>
    <hyperlink ref="G44" r:id="rId100" display="058 455 77 77"/>
    <hyperlink ref="G45" r:id="rId101" display="024 420 22 26"/>
    <hyperlink ref="H45" r:id="rId102" display="vaud@gammasa.ch"/>
    <hyperlink ref="X45" r:id="rId103" display="http://www.gammasa.ch"/>
    <hyperlink ref="G46" r:id="rId104" display="022 707 08 00"/>
    <hyperlink ref="H46" r:id="rId105" display="info@argecil.ch"/>
    <hyperlink ref="X46" r:id="rId106" display="http://www.argecil.ch"/>
    <hyperlink ref="G47" r:id="rId107" display="022 343 94 41"/>
    <hyperlink ref="H47" r:id="rId108" display="contact@strausak.com"/>
    <hyperlink ref="X47" r:id="rId109" display="http://www.strausak.com"/>
    <hyperlink ref="G48" r:id="rId110" display="022 809 97 00"/>
    <hyperlink ref="H48" r:id="rId111" display="info@figestor.com"/>
    <hyperlink ref="X48" r:id="rId112" display="http://www.figestor.com"/>
    <hyperlink ref="G50" r:id="rId113" display="022 884 64 00"/>
    <hyperlink ref="H50" r:id="rId114" display="mairie@plan-les-ouates.ch"/>
    <hyperlink ref="X50" r:id="rId115" display="http://www.plan-les-ouates.ch"/>
    <hyperlink ref="G51" r:id="rId116" display="022 839 39 39"/>
    <hyperlink ref="H51" r:id="rId117" display="geneve@naef.ch"/>
    <hyperlink ref="X51" r:id="rId118" display="http://www.naef.ch"/>
    <hyperlink ref="G52" r:id="rId119" display="022 850 93 93"/>
    <hyperlink ref="H52" r:id="rId120" display="info@confignon.ch"/>
    <hyperlink ref="X52" r:id="rId121" display="http://www.confignon.ch"/>
    <hyperlink ref="G53" r:id="rId122" display="022 340 31 51"/>
    <hyperlink ref="H53" r:id="rId123" display="mcbd@mcbd.ch"/>
    <hyperlink ref="X53" r:id="rId124" display="http://www.mcbd.ch"/>
    <hyperlink ref="G54" r:id="rId125" display="022 737 42 00"/>
    <hyperlink ref="X54" r:id="rId126" display="http://www.ksandt.com"/>
    <hyperlink ref="G55" r:id="rId127" display="022 869 88 44"/>
    <hyperlink ref="H55" r:id="rId128" display="admin@tjca.ch"/>
    <hyperlink ref="X55" r:id="rId129" display="http://www.tjca.ch"/>
    <hyperlink ref="G56" r:id="rId130" display="032 889 64 80"/>
    <hyperlink ref="H56" r:id="rId131" display="service.batiments@ne.ch"/>
    <hyperlink ref="X56" r:id="rId132" display="http://www.ne.ch"/>
    <hyperlink ref="G57" r:id="rId133" display="022 960 91 11"/>
    <hyperlink ref="H57" r:id="rId134" display="reception.chat@ecolint.ch"/>
    <hyperlink ref="X57" r:id="rId135" display="http://www.ecolint.ch"/>
    <hyperlink ref="G58" r:id="rId136" display="022 787 60 00"/>
    <hyperlink ref="H58" r:id="rId137" display="info@syllawidmann.ch"/>
    <hyperlink ref="X58" r:id="rId138" display="http://www.syllawidmann.ch"/>
    <hyperlink ref="G59" r:id="rId139" display="041 562 71 59"/>
    <hyperlink ref="H59" r:id="rId140" display="hello@enshift.com"/>
    <hyperlink ref="X59" r:id="rId141" display="http://www.enshift.com"/>
    <hyperlink ref="G60" r:id="rId142" display="041 562 71 59"/>
    <hyperlink ref="H60" r:id="rId143" display="hello@enshift.com"/>
    <hyperlink ref="X60" r:id="rId144" display="http://www.enshift.com"/>
    <hyperlink ref="G61" r:id="rId145" display="078 204 23 13"/>
    <hyperlink ref="H61" r:id="rId146" display="carlosbarros@basilar.ch"/>
    <hyperlink ref="G62" r:id="rId147" display="043 931 61 11"/>
    <hyperlink ref="H62" r:id="rId148" display="info@skyguide.ch"/>
    <hyperlink ref="X62" r:id="rId149" display="http://www.skyguide.ch"/>
    <hyperlink ref="G63" r:id="rId150" display="026 494 19 25"/>
    <hyperlink ref="H63" r:id="rId151" display="tafers@geoplaning.ch"/>
    <hyperlink ref="X63" r:id="rId152" display="http://www.bkgeoservice.ch"/>
    <hyperlink ref="G64" r:id="rId153" display="031 744 00 00"/>
    <hyperlink ref="H64" r:id="rId154" display="info@ramseyer.ch"/>
    <hyperlink ref="X64" r:id="rId155" display="http://www.ramseyer.ch"/>
    <hyperlink ref="G65" r:id="rId156" display="031 838 80 80"/>
    <hyperlink ref="H65" r:id="rId157" display="info@ans-architekten.ch"/>
    <hyperlink ref="X65" r:id="rId158" display="http://www.ans-architekten.ch"/>
    <hyperlink ref="G66" r:id="rId159" display="026 305 37 93"/>
    <hyperlink ref="G68" r:id="rId160" display="022 322 92 22"/>
    <hyperlink ref="H68" r:id="rId161" display="service@pilet-renaud.ch"/>
    <hyperlink ref="X68" r:id="rId162" display="http://www.pilet-renaud.ch"/>
    <hyperlink ref="G69" r:id="rId163" display="026 651 90 70"/>
    <hyperlink ref="H69" r:id="rId164" display="amr@menetrey-lift.ch"/>
    <hyperlink ref="X69" r:id="rId165" display="http://www.menetrey-lift.ch"/>
    <hyperlink ref="H70" r:id="rId166" display="info@index-ar.ch"/>
    <hyperlink ref="X70" r:id="rId167" display="http://www.index-ar.ch"/>
    <hyperlink ref="G71" r:id="rId168" display="026 651 90 70"/>
    <hyperlink ref="H71" r:id="rId169" display="amr@menetrey-lift.ch"/>
    <hyperlink ref="X71" r:id="rId170" display="http://www.menetrey-lift.ch"/>
    <hyperlink ref="H72" r:id="rId171" display="info@index-ar.ch"/>
    <hyperlink ref="X72" r:id="rId172" display="http://www.index-ar.ch"/>
    <hyperlink ref="G73" r:id="rId173" display="026 652 36 72"/>
    <hyperlink ref="H73" r:id="rId174" display="daniel.bard@bluewin.ch"/>
    <hyperlink ref="G74" r:id="rId175" display="026 305 55 00"/>
    <hyperlink ref="X74" r:id="rId176" display="http://www.grangeneuve.ch"/>
    <hyperlink ref="G75" r:id="rId177" display="026 652 91 91"/>
    <hyperlink ref="H75" r:id="rId178" display="admin@modulesa.ch"/>
    <hyperlink ref="X75" r:id="rId179" display="http://www.modulesa.ch"/>
    <hyperlink ref="G77" r:id="rId180" display="078 240 99 47"/>
    <hyperlink ref="H77" r:id="rId181" display="info@od-archi.ch"/>
    <hyperlink ref="X77" r:id="rId182" display="http://www.od-archi.ch"/>
    <hyperlink ref="G78" r:id="rId183" display="026 351 75 04"/>
    <hyperlink ref="H78" r:id="rId184" display="genie.civil@ville-fr.ch"/>
    <hyperlink ref="X78" r:id="rId185" display="http://www.ville-fribourg.ch"/>
    <hyperlink ref="G79" r:id="rId186" display="026 675 12 54"/>
    <hyperlink ref="H80" r:id="rId187" display="borgognon.architecture@gmail.com"/>
    <hyperlink ref="G81" r:id="rId188" display="026 305 37 84"/>
    <hyperlink ref="H81" r:id="rId189" display="sbat@fr.ch"/>
    <hyperlink ref="X81" r:id="rId190" display="http://www.fr.ch/sbat"/>
    <hyperlink ref="G82" r:id="rId191" display="031 381 12 57"/>
    <hyperlink ref="H82" r:id="rId192" display="buero@maeder-stooss.ch"/>
    <hyperlink ref="X82" r:id="rId193" display="http://www.maeder-stooss.ch"/>
    <hyperlink ref="G84" r:id="rId194" display="026 565 38 78"/>
    <hyperlink ref="H84" r:id="rId195" display="contact@tinguely-architectes.ch"/>
    <hyperlink ref="X84" r:id="rId196" display="http://www.tinguely-architectes.ch"/>
    <hyperlink ref="G85" r:id="rId197" display="021 331 28 00"/>
    <hyperlink ref="H85" r:id="rId198" display="gestion@cronosfinance.ch"/>
    <hyperlink ref="X85" r:id="rId199" display="http://www.cronosfinance.ch"/>
    <hyperlink ref="G86" r:id="rId200" display="026 424 88 55"/>
    <hyperlink ref="H86" r:id="rId201" display="info@bba-archipole.ch"/>
    <hyperlink ref="X86" r:id="rId202" display="http://www.bba-archipole.ch"/>
    <hyperlink ref="G87" r:id="rId203" display="058 750 50 00"/>
    <hyperlink ref="H87" r:id="rId204" display="info@citigroup.com"/>
    <hyperlink ref="X87" r:id="rId205" display="http://www.citigroup.com"/>
    <hyperlink ref="X88" r:id="rId206" display="http://www.mint-architecture.ch"/>
    <hyperlink ref="G89" r:id="rId207" display="058 715 31 11"/>
    <hyperlink ref="H89" r:id="rId208" display="ciepp@fer-ge.ch"/>
    <hyperlink ref="X89" r:id="rId209" display="http://www.ciepp.ch"/>
    <hyperlink ref="G90" r:id="rId210" display="022 794 37 82"/>
    <hyperlink ref="H90" r:id="rId211" display="s.esposito@creaprojets.ch"/>
    <hyperlink ref="X90" r:id="rId212" display="http://www.creaprojets.ch"/>
    <hyperlink ref="G91" r:id="rId213" display="022 908 38 50"/>
    <hyperlink ref="H91" r:id="rId214" display="ag.geneve-rive-droite@swisslife.ch"/>
    <hyperlink ref="X91" r:id="rId215" display="http://www.swisslife.ch"/>
    <hyperlink ref="G93" r:id="rId216" display="022 708 11 33"/>
    <hyperlink ref="H93" r:id="rId217" display="info@vetspecialistes.ch"/>
    <hyperlink ref="X93" r:id="rId218" display="http://www.vetspecialistes.ch"/>
    <hyperlink ref="G94" r:id="rId219" display="022 556 13 34"/>
    <hyperlink ref="H94" r:id="rId220" display="contact@c-architecture.ch"/>
    <hyperlink ref="X94" r:id="rId221" display="http://www.c-architecture.ch"/>
    <hyperlink ref="G95" r:id="rId222" display="022 546 62 00"/>
    <hyperlink ref="H95" r:id="rId223" display="ocbasac-marchespublics@etat.ge.ch"/>
    <hyperlink ref="X95" r:id="rId224" display="http://www.ge.ch"/>
    <hyperlink ref="G96" r:id="rId225" display="022 786 32 00"/>
    <hyperlink ref="H96" r:id="rId226" display="info@ganzmuller.ch"/>
    <hyperlink ref="X96" r:id="rId227" display="http://www.ganzmuller.ch"/>
    <hyperlink ref="G98" r:id="rId228" display="022 827 18 28"/>
    <hyperlink ref="H98" r:id="rId229" display="info@beric.ch"/>
    <hyperlink ref="X98" r:id="rId230" display="http://www.beric.ch"/>
    <hyperlink ref="G100" r:id="rId231" display="021 321 44 66"/>
    <hyperlink ref="H100" r:id="rId232" display="lausanne@cche.ch"/>
    <hyperlink ref="X100" r:id="rId233" display="http://www.cche.ch"/>
    <hyperlink ref="G101" r:id="rId234" display="022 707 46 00"/>
    <hyperlink ref="H101" r:id="rId235" display="geneva@spgpartner.ch"/>
    <hyperlink ref="X101" r:id="rId236" display="http://www.spgpartner.ch"/>
    <hyperlink ref="H102" r:id="rId237" display="info@ffarch.ch"/>
    <hyperlink ref="X102" r:id="rId238" display="http://www.ffarch.ch"/>
    <hyperlink ref="G103" r:id="rId239" display="022 418 21 50"/>
    <hyperlink ref="H103" r:id="rId240" display="patrimoine-bati.dpba@ville-ge.ch"/>
    <hyperlink ref="X103" r:id="rId241" display="http://www.ville-geneve.ch"/>
    <hyperlink ref="G104" r:id="rId242" display="022 808 20 00"/>
    <hyperlink ref="X104" r:id="rId243" display="http://www.richemont.com"/>
    <hyperlink ref="G105" r:id="rId244" display="022 702 10 77"/>
    <hyperlink ref="H105" r:id="rId245" display="architectes@deplanta-architectes.ch"/>
    <hyperlink ref="X105" r:id="rId246" display="http://www.planta-portier.ch"/>
    <hyperlink ref="G106" r:id="rId247" display="022 516 00 25"/>
    <hyperlink ref="X106" r:id="rId248" display="http://www.anticimex.ch"/>
    <hyperlink ref="G107" r:id="rId249" display="022 730 10 80"/>
    <hyperlink ref="H107" r:id="rId250" display="secretariat@architech.ch"/>
    <hyperlink ref="X107" r:id="rId251" display="http://www.architech.ch"/>
    <hyperlink ref="G108" r:id="rId252" display="021 964 80 00"/>
    <hyperlink ref="H108" r:id="rId253" display="anton.alimi@gmail.com"/>
    <hyperlink ref="G109" r:id="rId254" display="032 924 24 24"/>
    <hyperlink ref="H109" r:id="rId255" display="info@transn.ch"/>
    <hyperlink ref="X109" r:id="rId256" display="http://www.transn.ch"/>
    <hyperlink ref="G110" r:id="rId257" display="032 731 00 88"/>
    <hyperlink ref="H110" r:id="rId258" display="info@edilplan.ch"/>
    <hyperlink ref="X110" r:id="rId259" display="http://www.edilplan.ch"/>
    <hyperlink ref="G111" r:id="rId260" display="024 459 18 12"/>
    <hyperlink ref="H111" r:id="rId261" display="greffe@mathod.ch"/>
    <hyperlink ref="X111" r:id="rId262" display="http://www.mathod.ch"/>
    <hyperlink ref="G112" r:id="rId263" display="024 445 47 50"/>
    <hyperlink ref="H112" r:id="rId264" display="info@arche.swiss"/>
    <hyperlink ref="X112" r:id="rId265" display="http://www.arch-e-sarl.ch"/>
    <hyperlink ref="G113" r:id="rId266" display="027 606 38 00"/>
    <hyperlink ref="H113" r:id="rId267" display="sip-secretariat@admin.vs.ch"/>
    <hyperlink ref="X113" r:id="rId268" display="http://www.vs.ch"/>
    <hyperlink ref="G114" r:id="rId269" display="027 323 43 20"/>
    <hyperlink ref="H114" r:id="rId270" display="sion@mbing.ch"/>
    <hyperlink ref="X114" r:id="rId271" display="http://www.mbing.ch"/>
    <hyperlink ref="G115" r:id="rId272" display="022 718 19 60"/>
    <hyperlink ref="H115" r:id="rId273" display="admin@regiebrun.ch"/>
    <hyperlink ref="X115" r:id="rId274" display="http://www.regiebrun.ch"/>
    <hyperlink ref="G116" r:id="rId275" display="022 743 28 83"/>
    <hyperlink ref="H116" r:id="rId276" display="info@2dlc.net"/>
    <hyperlink ref="X116" r:id="rId277" display="http://www.2dlc.net"/>
    <hyperlink ref="G117" r:id="rId278" display="022 306 60 10"/>
    <hyperlink ref="X117" r:id="rId279" display="http://www.alpinefleet.com"/>
    <hyperlink ref="G118" r:id="rId280" display="022 979 34 00"/>
    <hyperlink ref="H118" r:id="rId281" display="infoge@barnes-commercial.com"/>
    <hyperlink ref="X118" r:id="rId282" display="http://www.barnes-commercial.com"/>
    <hyperlink ref="G119" r:id="rId283" display="022 379 71 11"/>
    <hyperlink ref="H119" r:id="rId284" display="batiments@unige.ch"/>
    <hyperlink ref="X119" r:id="rId285" display="http://www.unige.ch"/>
    <hyperlink ref="G120" r:id="rId286" display="022 809 89 59"/>
    <hyperlink ref="G121" r:id="rId287" display="022 809 89 59"/>
    <hyperlink ref="H121" r:id="rId288" display="corazzini@atelier-architectes.ch"/>
    <hyperlink ref="G122" r:id="rId289" display="022 980 94 00"/>
    <hyperlink ref="X122" r:id="rId290" display="http://www.cosyup.work"/>
    <hyperlink ref="G123" r:id="rId291" display="079 870 58 22"/>
    <hyperlink ref="X123" r:id="rId292" display="http://www.abcd.archi"/>
    <hyperlink ref="G124" r:id="rId293" display="022 796 07 45"/>
    <hyperlink ref="G125" r:id="rId294" display="022 342 59 30"/>
    <hyperlink ref="H125" r:id="rId295" display="geneve@cche.ch"/>
    <hyperlink ref="X125" r:id="rId296" display="http://www.cche.ch"/>
    <hyperlink ref="G126" r:id="rId297" display="079 933 65 31"/>
    <hyperlink ref="H126" r:id="rId298" display="contact@amd-interiordesigner.com"/>
    <hyperlink ref="X126" r:id="rId299" display="http://www.amd-interiordesigner.com"/>
    <hyperlink ref="G127" r:id="rId300" display="022 869 88 44"/>
    <hyperlink ref="X127" r:id="rId301" display="http://www.tjca.ch"/>
    <hyperlink ref="G128" r:id="rId302" display="044 518 02 00"/>
    <hyperlink ref="H128" r:id="rId303" display="kontakt@pensimo.ch"/>
    <hyperlink ref="X128" r:id="rId304" display="http://www.pensimo.ch"/>
    <hyperlink ref="G129" r:id="rId305" display="022 786 32 00"/>
    <hyperlink ref="H129" r:id="rId306" display="geneve@gmaa.ch"/>
    <hyperlink ref="X129" r:id="rId307" display="http://www.gmarchitectes.com"/>
    <hyperlink ref="G130" r:id="rId308" display="022 884 06 00"/>
    <hyperlink ref="X130" r:id="rId309" display="http://www.brevanhoward.com"/>
    <hyperlink ref="G131" r:id="rId310" display="022 321 41 78"/>
    <hyperlink ref="H131" r:id="rId311" display="info@ovarchitectes.com"/>
    <hyperlink ref="X131" r:id="rId312" display="http://www.ovarchitectes.com"/>
    <hyperlink ref="G132" r:id="rId313" display="022 566 82 45"/>
    <hyperlink ref="X132" r:id="rId314" display="http://www.rister.ch"/>
    <hyperlink ref="G134" r:id="rId315" display="058 317 17 17"/>
    <hyperlink ref="H134" r:id="rId316" display="info@sps.swiss"/>
    <hyperlink ref="X134" r:id="rId317" display="http://www.sps.swiss"/>
    <hyperlink ref="G135" r:id="rId318" display="022 794 37 82"/>
    <hyperlink ref="H135" r:id="rId319" display="s.esposito@creaprojets.ch"/>
    <hyperlink ref="X135" r:id="rId320" display="http://www.creaprojets.ch"/>
    <hyperlink ref="G136" r:id="rId321" display="022 707 08 00"/>
    <hyperlink ref="H136" r:id="rId322" display="info@argecil.ch"/>
    <hyperlink ref="X136" r:id="rId323" display="http://www.argecil.ch"/>
    <hyperlink ref="G137" r:id="rId324" display="022 343 94 41"/>
    <hyperlink ref="H137" r:id="rId325" display="contact@strausak.com"/>
    <hyperlink ref="X137" r:id="rId326" display="http://www.strausak.com"/>
    <hyperlink ref="G138" r:id="rId327" display="022 546 62 15"/>
    <hyperlink ref="H138" r:id="rId328" display="infodcti@etat.ge.ch"/>
    <hyperlink ref="X138" r:id="rId329" display="http://www.ge.ch"/>
    <hyperlink ref="G139" r:id="rId330" display="022 546 62 00"/>
    <hyperlink ref="H139" r:id="rId331" display="ocbasac-marchespublics@etat.ge.ch"/>
    <hyperlink ref="X139" r:id="rId332" display="http://www.ge.ch"/>
    <hyperlink ref="G140" r:id="rId333" display="022 546 53 90"/>
    <hyperlink ref="G141" r:id="rId334" display="022 797 50 50"/>
    <hyperlink ref="G142" r:id="rId335" display="022 332 50 00"/>
    <hyperlink ref="G143" r:id="rId336" display="076 429 66 64"/>
    <hyperlink ref="H143" r:id="rId337" display="info@novo-architectes.ch"/>
    <hyperlink ref="X143" r:id="rId338" display="http://www.novo-architectes.ch"/>
    <hyperlink ref="G144" r:id="rId339" display="022 839 39 39"/>
    <hyperlink ref="X144" r:id="rId340" display="http://www.naef.ch"/>
    <hyperlink ref="G145" r:id="rId341" display="022 839 37 78"/>
    <hyperlink ref="H145" r:id="rId342" display="info@alios-sa.ch"/>
    <hyperlink ref="X145" r:id="rId343" display="http://www.alios-sa.ch"/>
    <hyperlink ref="G146" r:id="rId344" display="022 736 87 16"/>
    <hyperlink ref="X146" r:id="rId345" display="http://www.congress-service.ch"/>
    <hyperlink ref="G147" r:id="rId346" display="022 503 93 40"/>
    <hyperlink ref="H147" r:id="rId347" display="contact@par-architecture.ch"/>
    <hyperlink ref="X147" r:id="rId348" display="http://www.par-architecture.ch"/>
    <hyperlink ref="G148" r:id="rId349" display="022 906 76 46"/>
    <hyperlink ref="H148" r:id="rId350" display="info@webcorgroup.com"/>
    <hyperlink ref="X148" r:id="rId351" display="http://www.webcorgroup.com"/>
    <hyperlink ref="G149" r:id="rId352" display="022 543 36 07"/>
    <hyperlink ref="H149" r:id="rId353" display="archi@klip-a.ch"/>
    <hyperlink ref="X149" r:id="rId354" display="http://www.klip-a.ch"/>
    <hyperlink ref="G150" r:id="rId355" display="022 546 62 00"/>
    <hyperlink ref="H150" r:id="rId356" display="ocbasac-marchespublics@etat.ge.ch"/>
    <hyperlink ref="X150" r:id="rId357" display="http://www.ge.ch"/>
    <hyperlink ref="G151" r:id="rId358" display="078 882 23 77"/>
    <hyperlink ref="H151" r:id="rId359" display="info@alatwi-architectes.ch"/>
    <hyperlink ref="X151" r:id="rId360" display="http://www.alatwi-architectes.ch"/>
    <hyperlink ref="G152" r:id="rId361" display="022 592 91 00"/>
    <hyperlink ref="H152" r:id="rId362" display="beu.comm@bunge.com"/>
    <hyperlink ref="X152" r:id="rId363" display="http://www.bunge.com"/>
    <hyperlink ref="G153" r:id="rId364" display="022 343 03 30"/>
    <hyperlink ref="H153" r:id="rId365" display="info@acau.ch"/>
    <hyperlink ref="X153" r:id="rId366" display="http://www.acau.ch"/>
    <hyperlink ref="G154" r:id="rId367" display="022 782 82 82"/>
    <hyperlink ref="H154" r:id="rId368" display="meyrin@meyrin.ch"/>
    <hyperlink ref="X154" r:id="rId369" display="http://www.meyrin.ch"/>
    <hyperlink ref="G155" r:id="rId370" display="022 989 16 93"/>
    <hyperlink ref="G156" r:id="rId371" display="022 322 89 50"/>
    <hyperlink ref="H156" r:id="rId372" display="info@atba.ch"/>
    <hyperlink ref="X156" r:id="rId373" display="http://www.atba.ch"/>
    <hyperlink ref="G157" r:id="rId374" display="022 850 93 93"/>
    <hyperlink ref="H157" r:id="rId375" display="info@confignon.ch"/>
    <hyperlink ref="X157" r:id="rId376" display="http://www.confignon.ch"/>
    <hyperlink ref="G158" r:id="rId377" display="022 340 31 51"/>
    <hyperlink ref="H158" r:id="rId378" display="mcbd@mcbd.ch"/>
    <hyperlink ref="X158" r:id="rId379" display="http://www.mcbd.ch"/>
    <hyperlink ref="G159" r:id="rId380" display="022 518 17 40"/>
    <hyperlink ref="H159" r:id="rId381" display="info@whiteoakam.com"/>
    <hyperlink ref="X159" r:id="rId382" display="http://www.whiteoakam.com"/>
    <hyperlink ref="G160" r:id="rId383" display="022 363 10 50"/>
    <hyperlink ref="G161" r:id="rId384" display="022 715 12 11"/>
    <hyperlink ref="X161" r:id="rId385" display="http://www.arabbank.ch"/>
    <hyperlink ref="G162" r:id="rId386" display="022 321 02 34"/>
    <hyperlink ref="H162" r:id="rId387" display="loic@eyre-architecture.ch"/>
    <hyperlink ref="X162" r:id="rId388" display="http://www.eyre-architecture.ch"/>
    <hyperlink ref="G163" r:id="rId389" display="022 322 92 22"/>
    <hyperlink ref="H163" r:id="rId390" display="service@pilet-renaud.ch"/>
    <hyperlink ref="X163" r:id="rId391" display="http://www.pilet-renaud.ch"/>
    <hyperlink ref="G165" r:id="rId392" display="022 786 32 00"/>
    <hyperlink ref="H165" r:id="rId393" display="geneve@gmaa.ch"/>
    <hyperlink ref="X165" r:id="rId394" display="http://www.gmarchitectes.com"/>
    <hyperlink ref="G166" r:id="rId395" display="022 759 11 23"/>
    <hyperlink ref="H166" r:id="rId396" display="info@domaineducrest.ch"/>
    <hyperlink ref="X166" r:id="rId397" display="http://www.domaineducrest.ch"/>
    <hyperlink ref="G167" r:id="rId398" display="022 879 05 90"/>
    <hyperlink ref="H167" r:id="rId399" display="info@dgpa.ch"/>
    <hyperlink ref="X167" r:id="rId400" display="http://www.dgpa.ch"/>
    <hyperlink ref="G168" r:id="rId401" display="022 338 91 11"/>
    <hyperlink ref="H168" r:id="rId402" display="wipo.mail@wipo.int"/>
    <hyperlink ref="X168" r:id="rId403" display="http://www.wipo.int"/>
    <hyperlink ref="G169" r:id="rId404" display="022 879 05 90"/>
    <hyperlink ref="H169" r:id="rId405" display="info@dgpa.ch"/>
    <hyperlink ref="X169" r:id="rId406" display="http://www.dgpa.ch"/>
    <hyperlink ref="G170" r:id="rId407" display="022 338 91 11"/>
    <hyperlink ref="H170" r:id="rId408" display="wipo.mail@wipo.int"/>
    <hyperlink ref="X170" r:id="rId409" display="http://www.wipo.int"/>
    <hyperlink ref="G171" r:id="rId410" display="022 879 05 90"/>
    <hyperlink ref="H171" r:id="rId411" display="info@dgpa.ch"/>
    <hyperlink ref="X171" r:id="rId412" display="http://www.dgpa.ch"/>
    <hyperlink ref="G172" r:id="rId413" display="022 718 64 64"/>
    <hyperlink ref="H172" r:id="rId414" display="info@publicislive.com"/>
    <hyperlink ref="X172" r:id="rId415" display="http://www.publicislive.com"/>
    <hyperlink ref="G173" r:id="rId416" display="022 332 44 88"/>
    <hyperlink ref="H173" r:id="rId417" display="info@strata.ch"/>
    <hyperlink ref="X173" r:id="rId418" display="http://www.strata.ch"/>
    <hyperlink ref="G174" r:id="rId419" display="022 379 71 11"/>
    <hyperlink ref="H174" r:id="rId420" display="batiments@unige.ch"/>
    <hyperlink ref="X174" r:id="rId421" display="http://www.unige.ch"/>
    <hyperlink ref="G175" r:id="rId422" display="022 418 34 05"/>
    <hyperlink ref="G176" r:id="rId423" display="022 307 01 30"/>
    <hyperlink ref="H176" r:id="rId424" display="mail@dl-a.ch"/>
    <hyperlink ref="X176" r:id="rId425" display="http://www.dl-a.ch"/>
    <hyperlink ref="G177" r:id="rId426" display="022 310 67 90"/>
    <hyperlink ref="G178" r:id="rId427" display="078 676 87 44"/>
    <hyperlink ref="H178" r:id="rId428" display="juanmanuelgonzalezp@gmail.com"/>
    <hyperlink ref="G179" r:id="rId429" display="022 300 40 20"/>
    <hyperlink ref="G180" r:id="rId430" display="022 794 37 82"/>
    <hyperlink ref="H180" r:id="rId431" display="s.esposito@creaprojets.ch"/>
    <hyperlink ref="X180" r:id="rId432" display="http://www.creaprojets.ch"/>
    <hyperlink ref="G181" r:id="rId433" display="022 787 24 00"/>
    <hyperlink ref="H181" r:id="rId434" display="administration@ecolint.ch"/>
    <hyperlink ref="X181" r:id="rId435" display="http://www.ecolint.ch"/>
    <hyperlink ref="G182" r:id="rId436" display="078 666 29 44"/>
    <hyperlink ref="H182" r:id="rId437" display="r.brogniart@blockbarchitectes.ch"/>
    <hyperlink ref="X182" r:id="rId438" display="http://www.blockbarchitectes.ch"/>
    <hyperlink ref="G183" r:id="rId439" display="022 339 39 39"/>
    <hyperlink ref="H183" r:id="rId440" display="info@rosset.ch"/>
    <hyperlink ref="X183" r:id="rId441" display="http://www.rosset.ch"/>
    <hyperlink ref="G184" r:id="rId442" display="078 222 22 62"/>
    <hyperlink ref="H184" r:id="rId443" display="contact@pcfs.ch"/>
    <hyperlink ref="X184" r:id="rId444" display="http://www.pcfs.ch"/>
    <hyperlink ref="G185" r:id="rId445" display="022 379 71 11"/>
    <hyperlink ref="H185" r:id="rId446" display="batiments@unige.ch"/>
    <hyperlink ref="X185" r:id="rId447" display="http://www.unige.ch"/>
    <hyperlink ref="G186" r:id="rId448" display="022 721 02 00"/>
    <hyperlink ref="H186" r:id="rId449" display="secretariat.suisse@talan.com"/>
    <hyperlink ref="X186" r:id="rId450" display="http://www.talan.com"/>
    <hyperlink ref="G187" r:id="rId451" display="022 794 37 82"/>
    <hyperlink ref="H187" r:id="rId452" display="s.esposito@creaprojets.ch"/>
    <hyperlink ref="X187" r:id="rId453" display="http://www.creaprojets.ch"/>
    <hyperlink ref="G188" r:id="rId454" display="022 717 21 11"/>
    <hyperlink ref="H188" r:id="rId455" display="ebu@ebu.ch"/>
    <hyperlink ref="X188" r:id="rId456" display="http://www.ebu.ch"/>
    <hyperlink ref="G189" r:id="rId457" display="021 566 11 39"/>
    <hyperlink ref="H189" r:id="rId458" display="lausanne@studiobanana.com"/>
    <hyperlink ref="X189" r:id="rId459" display="http://www.studiobanana.com"/>
    <hyperlink ref="G190" r:id="rId460" display="022 420 52 00"/>
    <hyperlink ref="H190" r:id="rId461" display="contact@hospicegeneral.ch"/>
    <hyperlink ref="X190" r:id="rId462" display="http://www.hospicegeneral.ch"/>
    <hyperlink ref="G191" r:id="rId463" display="022 794 37 82"/>
    <hyperlink ref="H191" r:id="rId464" display="s.esposito@creaprojets.ch"/>
    <hyperlink ref="X191" r:id="rId465" display="http://www.creaprojets.ch"/>
    <hyperlink ref="G192" r:id="rId466" display="041 369 70 70"/>
    <hyperlink ref="H192" r:id="rId467" display="info@carl-f-bucherer.com"/>
    <hyperlink ref="X192" r:id="rId468" display="http://www.bucherer.com"/>
    <hyperlink ref="H193" r:id="rId469" display="info@lucasfalbriard.ch"/>
    <hyperlink ref="X193" r:id="rId470" display="http://www.lucasfalbriard.ch"/>
    <hyperlink ref="G194" r:id="rId471" display="022 709 21 11"/>
    <hyperlink ref="X194" r:id="rId472" display="http://www.lombardodier.com"/>
    <hyperlink ref="G198" r:id="rId473" display="021 311 99 24"/>
    <hyperlink ref="H198" r:id="rId474" display="switzerland@aremis.com"/>
    <hyperlink ref="X198" r:id="rId475" display="http://www.aremis.com"/>
    <hyperlink ref="G199" r:id="rId476" display="022 827 49 30"/>
    <hyperlink ref="H199" r:id="rId477" display="contact@fivc.ch"/>
    <hyperlink ref="X199" r:id="rId478" display="http://www.carouge.ch"/>
    <hyperlink ref="G200" r:id="rId479" display="022 301 13 95"/>
    <hyperlink ref="H200" r:id="rId480" display="info@atelier92.ch"/>
    <hyperlink ref="X200" r:id="rId481" display="http://www.atelier92.ch"/>
    <hyperlink ref="G201" r:id="rId482" display="022 580 17 00"/>
    <hyperlink ref="X201" r:id="rId483" display="http://www.gardacp.com"/>
    <hyperlink ref="G202" r:id="rId484" display="022 869 88 44"/>
    <hyperlink ref="H202" r:id="rId485" display="admin@tjca.ch"/>
    <hyperlink ref="X202" r:id="rId486" display="http://www.tjca.ch"/>
    <hyperlink ref="G203" r:id="rId487" display="024 459 60 10"/>
    <hyperlink ref="H203" r:id="rId488" display="fglauser@fglauser.ch"/>
    <hyperlink ref="X203" r:id="rId489" display="http://www.fglauser.ch"/>
    <hyperlink ref="G204" r:id="rId490" display="022 731 01 65"/>
    <hyperlink ref="G205" r:id="rId491" display="022 708 01 80"/>
    <hyperlink ref="H205" r:id="rId492" display="3bm3@3bm3.ch"/>
    <hyperlink ref="X205" r:id="rId493" display="http://www.3bm3.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494"/>
  <tableParts>
    <tablePart r:id="rId49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5F68"/>
    <pageSetUpPr fitToPage="false"/>
  </sheetPr>
  <dimension ref="A1:V1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1"/>
    <col collapsed="false" customWidth="true" hidden="false" outlineLevel="0" max="2" min="2" style="0" width="6"/>
    <col collapsed="false" customWidth="true" hidden="false" outlineLevel="0" max="3" min="3" style="0" width="11"/>
    <col collapsed="false" customWidth="true" hidden="false" outlineLevel="0" max="4" min="4" style="0" width="38"/>
    <col collapsed="false" customWidth="true" hidden="false" outlineLevel="0" max="5" min="5" style="0" width="18"/>
    <col collapsed="false" customWidth="true" hidden="false" outlineLevel="0" max="6" min="6" style="0" width="28"/>
    <col collapsed="false" customWidth="true" hidden="false" outlineLevel="0" max="7" min="7" style="0" width="12"/>
    <col collapsed="false" customWidth="true" hidden="false" outlineLevel="0" max="8" min="8" style="0" width="18"/>
    <col collapsed="false" customWidth="true" hidden="false" outlineLevel="0" max="10" min="9" style="0" width="12"/>
    <col collapsed="false" customWidth="true" hidden="false" outlineLevel="0" max="11" min="11" style="0" width="14"/>
    <col collapsed="false" customWidth="true" hidden="false" outlineLevel="0" max="12" min="12" style="0" width="24"/>
    <col collapsed="false" customWidth="true" hidden="false" outlineLevel="0" max="13" min="13" style="0" width="13"/>
    <col collapsed="false" customWidth="true" hidden="false" outlineLevel="0" max="14" min="14" style="0" width="42"/>
    <col collapsed="false" customWidth="true" hidden="false" outlineLevel="0" max="15" min="15" style="0" width="55"/>
    <col collapsed="false" customWidth="true" hidden="false" outlineLevel="0" max="16" min="16" style="0" width="12"/>
    <col collapsed="false" customWidth="true" hidden="false" outlineLevel="0" max="18" min="17" style="0" width="28"/>
    <col collapsed="false" customWidth="true" hidden="false" outlineLevel="0" max="20" min="19" style="0" width="9"/>
    <col collapsed="false" customWidth="true" hidden="false" outlineLevel="0" max="21" min="21" style="0" width="10"/>
    <col collapsed="false" customWidth="true" hidden="false" outlineLevel="0" max="22" min="22" style="0" width="26"/>
  </cols>
  <sheetData>
    <row r="1" customFormat="false" ht="42" hidden="false" customHeight="true" outlineLevel="0" collapsed="false">
      <c r="A1" s="15" t="s">
        <v>116</v>
      </c>
      <c r="B1" s="15" t="s">
        <v>117</v>
      </c>
      <c r="C1" s="15" t="s">
        <v>101</v>
      </c>
      <c r="D1" s="15" t="s">
        <v>123</v>
      </c>
      <c r="E1" s="15" t="s">
        <v>124</v>
      </c>
      <c r="F1" s="15" t="s">
        <v>131</v>
      </c>
      <c r="G1" s="15" t="s">
        <v>1538</v>
      </c>
      <c r="H1" s="15" t="s">
        <v>41</v>
      </c>
      <c r="I1" s="15" t="s">
        <v>1539</v>
      </c>
      <c r="J1" s="15" t="s">
        <v>43</v>
      </c>
      <c r="K1" s="15" t="s">
        <v>125</v>
      </c>
      <c r="L1" s="15" t="s">
        <v>132</v>
      </c>
      <c r="M1" s="15" t="s">
        <v>1540</v>
      </c>
      <c r="N1" s="15" t="s">
        <v>1541</v>
      </c>
      <c r="O1" s="15" t="s">
        <v>1542</v>
      </c>
      <c r="P1" s="15" t="s">
        <v>1543</v>
      </c>
      <c r="Q1" s="15" t="s">
        <v>137</v>
      </c>
      <c r="R1" s="15" t="s">
        <v>97</v>
      </c>
      <c r="S1" s="15" t="s">
        <v>6</v>
      </c>
      <c r="T1" s="15" t="s">
        <v>23</v>
      </c>
      <c r="U1" s="15" t="s">
        <v>1544</v>
      </c>
      <c r="V1" s="15" t="s">
        <v>135</v>
      </c>
    </row>
    <row r="2" customFormat="false" ht="15" hidden="false" customHeight="false" outlineLevel="0" collapsed="false">
      <c r="A2" s="18" t="s">
        <v>136</v>
      </c>
      <c r="B2" s="19" t="n">
        <v>1</v>
      </c>
      <c r="C2" s="18" t="s">
        <v>145</v>
      </c>
      <c r="D2" s="22" t="s">
        <v>142</v>
      </c>
      <c r="E2" s="18" t="s">
        <v>143</v>
      </c>
      <c r="F2" s="21" t="s">
        <v>148</v>
      </c>
      <c r="G2" s="18" t="s">
        <v>1545</v>
      </c>
      <c r="H2" s="18" t="s">
        <v>43</v>
      </c>
      <c r="I2" s="29"/>
      <c r="J2" s="29" t="n">
        <v>46029</v>
      </c>
      <c r="K2" s="24" t="n">
        <v>50000</v>
      </c>
      <c r="L2" s="21" t="s">
        <v>149</v>
      </c>
      <c r="M2" s="18" t="s">
        <v>1546</v>
      </c>
      <c r="N2" s="21" t="s">
        <v>1547</v>
      </c>
      <c r="O2" s="21" t="s">
        <v>150</v>
      </c>
      <c r="P2" s="29" t="n">
        <v>46029</v>
      </c>
      <c r="Q2" s="21" t="s">
        <v>138</v>
      </c>
      <c r="R2" s="21" t="s">
        <v>152</v>
      </c>
      <c r="S2" s="19" t="n">
        <f aca="false">COUNTIFS(Calls!$A$2:$A$9999,$A2,Calls!$B$2:$B$9999,$B2)</f>
        <v>2</v>
      </c>
      <c r="T2" s="19" t="n">
        <f aca="false">COUNTIFS(Calls!$A$2:$A$9999,$A2,Calls!$B$2:$B$9999,$B2,Calls!$N$2:$N$9999,"Reached*")</f>
        <v>1</v>
      </c>
      <c r="U2" s="31" t="n">
        <f aca="false">COUNTIFS(Calls!$A$2:$A$9999,$A2,Calls!$B$2:$B$9999,$B2,Calls!$O$2:$O$9999,"Interested")+COUNTIFS(Calls!$A$2:$A$9999,$A2,Calls!$B$2:$B$9999,$B2,Calls!$O$2:$O$9999,"Meeting booked")+COUNTIFS(Calls!$A$2:$A$9999,$A2,Calls!$B$2:$B$9999,$B2,Calls!$O$2:$O$9999,"Quote requested")</f>
        <v>0</v>
      </c>
      <c r="V2" s="21"/>
    </row>
    <row r="3" customFormat="false" ht="15" hidden="false" customHeight="false" outlineLevel="0" collapsed="false">
      <c r="A3" s="18" t="s">
        <v>157</v>
      </c>
      <c r="B3" s="19" t="n">
        <v>1</v>
      </c>
      <c r="C3" s="18" t="s">
        <v>165</v>
      </c>
      <c r="D3" s="22" t="s">
        <v>160</v>
      </c>
      <c r="E3" s="18" t="s">
        <v>161</v>
      </c>
      <c r="F3" s="21" t="s">
        <v>166</v>
      </c>
      <c r="G3" s="18" t="s">
        <v>1548</v>
      </c>
      <c r="H3" s="18" t="s">
        <v>43</v>
      </c>
      <c r="I3" s="29"/>
      <c r="J3" s="29" t="n">
        <v>46014</v>
      </c>
      <c r="K3" s="24" t="n">
        <v>40000</v>
      </c>
      <c r="L3" s="21" t="s">
        <v>149</v>
      </c>
      <c r="M3" s="18" t="s">
        <v>1546</v>
      </c>
      <c r="N3" s="21" t="s">
        <v>1549</v>
      </c>
      <c r="O3" s="21" t="s">
        <v>167</v>
      </c>
      <c r="P3" s="29" t="n">
        <v>46014</v>
      </c>
      <c r="Q3" s="21" t="s">
        <v>158</v>
      </c>
      <c r="R3" s="21" t="s">
        <v>168</v>
      </c>
      <c r="S3" s="19" t="n">
        <f aca="false">COUNTIFS(Calls!$A$2:$A$9999,$A3,Calls!$B$2:$B$9999,$B3)</f>
        <v>2</v>
      </c>
      <c r="T3" s="19" t="n">
        <f aca="false">COUNTIFS(Calls!$A$2:$A$9999,$A3,Calls!$B$2:$B$9999,$B3,Calls!$N$2:$N$9999,"Reached*")</f>
        <v>1</v>
      </c>
      <c r="U3" s="31" t="n">
        <f aca="false">COUNTIFS(Calls!$A$2:$A$9999,$A3,Calls!$B$2:$B$9999,$B3,Calls!$O$2:$O$9999,"Interested")+COUNTIFS(Calls!$A$2:$A$9999,$A3,Calls!$B$2:$B$9999,$B3,Calls!$O$2:$O$9999,"Meeting booked")+COUNTIFS(Calls!$A$2:$A$9999,$A3,Calls!$B$2:$B$9999,$B3,Calls!$O$2:$O$9999,"Quote requested")</f>
        <v>0</v>
      </c>
      <c r="V3" s="21"/>
    </row>
    <row r="4" customFormat="false" ht="23.85" hidden="false" customHeight="false" outlineLevel="0" collapsed="false">
      <c r="A4" s="18" t="s">
        <v>176</v>
      </c>
      <c r="B4" s="19" t="n">
        <v>1</v>
      </c>
      <c r="C4" s="18" t="s">
        <v>185</v>
      </c>
      <c r="D4" s="22" t="s">
        <v>181</v>
      </c>
      <c r="E4" s="18" t="s">
        <v>182</v>
      </c>
      <c r="F4" s="21" t="s">
        <v>188</v>
      </c>
      <c r="G4" s="18" t="s">
        <v>1550</v>
      </c>
      <c r="H4" s="18" t="s">
        <v>43</v>
      </c>
      <c r="I4" s="29"/>
      <c r="J4" s="29" t="n">
        <v>46013</v>
      </c>
      <c r="K4" s="24" t="n">
        <v>150000</v>
      </c>
      <c r="L4" s="21" t="s">
        <v>149</v>
      </c>
      <c r="M4" s="18" t="s">
        <v>1546</v>
      </c>
      <c r="N4" s="21" t="s">
        <v>1549</v>
      </c>
      <c r="O4" s="21" t="s">
        <v>189</v>
      </c>
      <c r="P4" s="29" t="n">
        <v>46013</v>
      </c>
      <c r="Q4" s="21" t="s">
        <v>177</v>
      </c>
      <c r="R4" s="21" t="s">
        <v>190</v>
      </c>
      <c r="S4" s="19" t="n">
        <f aca="false">COUNTIFS(Calls!$A$2:$A$9999,$A4,Calls!$B$2:$B$9999,$B4)</f>
        <v>2</v>
      </c>
      <c r="T4" s="19" t="n">
        <f aca="false">COUNTIFS(Calls!$A$2:$A$9999,$A4,Calls!$B$2:$B$9999,$B4,Calls!$N$2:$N$9999,"Reached*")</f>
        <v>2</v>
      </c>
      <c r="U4" s="31" t="n">
        <f aca="false">COUNTIFS(Calls!$A$2:$A$9999,$A4,Calls!$B$2:$B$9999,$B4,Calls!$O$2:$O$9999,"Interested")+COUNTIFS(Calls!$A$2:$A$9999,$A4,Calls!$B$2:$B$9999,$B4,Calls!$O$2:$O$9999,"Meeting booked")+COUNTIFS(Calls!$A$2:$A$9999,$A4,Calls!$B$2:$B$9999,$B4,Calls!$O$2:$O$9999,"Quote requested")</f>
        <v>0</v>
      </c>
      <c r="V4" s="21"/>
    </row>
    <row r="5" customFormat="false" ht="46.25" hidden="false" customHeight="false" outlineLevel="0" collapsed="false">
      <c r="A5" s="18" t="s">
        <v>199</v>
      </c>
      <c r="B5" s="19" t="n">
        <v>1</v>
      </c>
      <c r="C5" s="18" t="s">
        <v>207</v>
      </c>
      <c r="D5" s="22" t="s">
        <v>203</v>
      </c>
      <c r="E5" s="18" t="s">
        <v>204</v>
      </c>
      <c r="F5" s="21" t="s">
        <v>209</v>
      </c>
      <c r="G5" s="18" t="s">
        <v>1551</v>
      </c>
      <c r="H5" s="18" t="s">
        <v>42</v>
      </c>
      <c r="I5" s="29" t="n">
        <v>45989</v>
      </c>
      <c r="J5" s="29"/>
      <c r="K5" s="24" t="n">
        <v>350000</v>
      </c>
      <c r="L5" s="21" t="s">
        <v>149</v>
      </c>
      <c r="M5" s="18"/>
      <c r="N5" s="21" t="s">
        <v>1552</v>
      </c>
      <c r="O5" s="21" t="s">
        <v>210</v>
      </c>
      <c r="P5" s="29" t="n">
        <v>45992</v>
      </c>
      <c r="Q5" s="21" t="s">
        <v>200</v>
      </c>
      <c r="R5" s="21" t="s">
        <v>211</v>
      </c>
      <c r="S5" s="19" t="n">
        <f aca="false">COUNTIFS(Calls!$A$2:$A$9999,$A5,Calls!$B$2:$B$9999,$B5)</f>
        <v>2</v>
      </c>
      <c r="T5" s="19" t="n">
        <f aca="false">COUNTIFS(Calls!$A$2:$A$9999,$A5,Calls!$B$2:$B$9999,$B5,Calls!$N$2:$N$9999,"Reached*")</f>
        <v>1</v>
      </c>
      <c r="U5" s="31" t="n">
        <f aca="false">COUNTIFS(Calls!$A$2:$A$9999,$A5,Calls!$B$2:$B$9999,$B5,Calls!$O$2:$O$9999,"Interested")+COUNTIFS(Calls!$A$2:$A$9999,$A5,Calls!$B$2:$B$9999,$B5,Calls!$O$2:$O$9999,"Meeting booked")+COUNTIFS(Calls!$A$2:$A$9999,$A5,Calls!$B$2:$B$9999,$B5,Calls!$O$2:$O$9999,"Quote requested")</f>
        <v>0</v>
      </c>
      <c r="V5" s="21"/>
    </row>
    <row r="6" customFormat="false" ht="46.25" hidden="false" customHeight="false" outlineLevel="0" collapsed="false">
      <c r="A6" s="18" t="s">
        <v>220</v>
      </c>
      <c r="B6" s="19" t="n">
        <v>1</v>
      </c>
      <c r="C6" s="18" t="s">
        <v>226</v>
      </c>
      <c r="D6" s="22" t="s">
        <v>222</v>
      </c>
      <c r="E6" s="18" t="s">
        <v>204</v>
      </c>
      <c r="F6" s="21" t="s">
        <v>228</v>
      </c>
      <c r="G6" s="18" t="s">
        <v>1553</v>
      </c>
      <c r="H6" s="18" t="s">
        <v>42</v>
      </c>
      <c r="I6" s="29" t="n">
        <v>45940</v>
      </c>
      <c r="J6" s="29"/>
      <c r="K6" s="24" t="n">
        <v>300000</v>
      </c>
      <c r="L6" s="21" t="s">
        <v>229</v>
      </c>
      <c r="M6" s="18"/>
      <c r="N6" s="21" t="s">
        <v>1554</v>
      </c>
      <c r="O6" s="21" t="s">
        <v>230</v>
      </c>
      <c r="P6" s="29" t="n">
        <v>45944</v>
      </c>
      <c r="Q6" s="21" t="s">
        <v>221</v>
      </c>
      <c r="R6" s="21" t="s">
        <v>231</v>
      </c>
      <c r="S6" s="19" t="n">
        <f aca="false">COUNTIFS(Calls!$A$2:$A$9999,$A6,Calls!$B$2:$B$9999,$B6)</f>
        <v>2</v>
      </c>
      <c r="T6" s="19" t="n">
        <f aca="false">COUNTIFS(Calls!$A$2:$A$9999,$A6,Calls!$B$2:$B$9999,$B6,Calls!$N$2:$N$9999,"Reached*")</f>
        <v>0</v>
      </c>
      <c r="U6" s="31" t="n">
        <f aca="false">COUNTIFS(Calls!$A$2:$A$9999,$A6,Calls!$B$2:$B$9999,$B6,Calls!$O$2:$O$9999,"Interested")+COUNTIFS(Calls!$A$2:$A$9999,$A6,Calls!$B$2:$B$9999,$B6,Calls!$O$2:$O$9999,"Meeting booked")+COUNTIFS(Calls!$A$2:$A$9999,$A6,Calls!$B$2:$B$9999,$B6,Calls!$O$2:$O$9999,"Quote requested")</f>
        <v>0</v>
      </c>
      <c r="V6" s="21"/>
    </row>
    <row r="7" customFormat="false" ht="23.85" hidden="false" customHeight="false" outlineLevel="0" collapsed="false">
      <c r="A7" s="18" t="s">
        <v>240</v>
      </c>
      <c r="B7" s="19" t="n">
        <v>1</v>
      </c>
      <c r="C7" s="18" t="s">
        <v>250</v>
      </c>
      <c r="D7" s="22" t="s">
        <v>245</v>
      </c>
      <c r="E7" s="18" t="s">
        <v>246</v>
      </c>
      <c r="F7" s="21" t="s">
        <v>253</v>
      </c>
      <c r="G7" s="18" t="s">
        <v>1555</v>
      </c>
      <c r="H7" s="18" t="s">
        <v>42</v>
      </c>
      <c r="I7" s="29" t="n">
        <v>45947</v>
      </c>
      <c r="J7" s="29"/>
      <c r="K7" s="24" t="n">
        <v>50000</v>
      </c>
      <c r="L7" s="21" t="s">
        <v>254</v>
      </c>
      <c r="M7" s="18" t="s">
        <v>1546</v>
      </c>
      <c r="N7" s="21" t="s">
        <v>1556</v>
      </c>
      <c r="O7" s="21" t="s">
        <v>255</v>
      </c>
      <c r="P7" s="29" t="n">
        <v>45947</v>
      </c>
      <c r="Q7" s="21" t="s">
        <v>241</v>
      </c>
      <c r="R7" s="21" t="s">
        <v>256</v>
      </c>
      <c r="S7" s="19" t="n">
        <f aca="false">COUNTIFS(Calls!$A$2:$A$9999,$A7,Calls!$B$2:$B$9999,$B7)</f>
        <v>2</v>
      </c>
      <c r="T7" s="19" t="n">
        <f aca="false">COUNTIFS(Calls!$A$2:$A$9999,$A7,Calls!$B$2:$B$9999,$B7,Calls!$N$2:$N$9999,"Reached*")</f>
        <v>0</v>
      </c>
      <c r="U7" s="31" t="n">
        <f aca="false">COUNTIFS(Calls!$A$2:$A$9999,$A7,Calls!$B$2:$B$9999,$B7,Calls!$O$2:$O$9999,"Interested")+COUNTIFS(Calls!$A$2:$A$9999,$A7,Calls!$B$2:$B$9999,$B7,Calls!$O$2:$O$9999,"Meeting booked")+COUNTIFS(Calls!$A$2:$A$9999,$A7,Calls!$B$2:$B$9999,$B7,Calls!$O$2:$O$9999,"Quote requested")</f>
        <v>0</v>
      </c>
      <c r="V7" s="21"/>
    </row>
    <row r="8" customFormat="false" ht="46.25" hidden="false" customHeight="false" outlineLevel="0" collapsed="false">
      <c r="A8" s="18" t="s">
        <v>261</v>
      </c>
      <c r="B8" s="19" t="n">
        <v>1</v>
      </c>
      <c r="C8" s="18" t="s">
        <v>266</v>
      </c>
      <c r="D8" s="22" t="s">
        <v>264</v>
      </c>
      <c r="E8" s="18" t="s">
        <v>265</v>
      </c>
      <c r="F8" s="21" t="s">
        <v>268</v>
      </c>
      <c r="G8" s="18" t="s">
        <v>1557</v>
      </c>
      <c r="H8" s="18" t="s">
        <v>42</v>
      </c>
      <c r="I8" s="29" t="n">
        <v>46003</v>
      </c>
      <c r="J8" s="29"/>
      <c r="K8" s="24" t="n">
        <v>900000</v>
      </c>
      <c r="L8" s="21" t="s">
        <v>149</v>
      </c>
      <c r="M8" s="18"/>
      <c r="N8" s="21" t="s">
        <v>1558</v>
      </c>
      <c r="O8" s="21" t="s">
        <v>269</v>
      </c>
      <c r="P8" s="29" t="n">
        <v>46007</v>
      </c>
      <c r="Q8" s="21" t="s">
        <v>262</v>
      </c>
      <c r="R8" s="21" t="s">
        <v>270</v>
      </c>
      <c r="S8" s="19" t="n">
        <f aca="false">COUNTIFS(Calls!$A$2:$A$9999,$A8,Calls!$B$2:$B$9999,$B8)</f>
        <v>2</v>
      </c>
      <c r="T8" s="19" t="n">
        <f aca="false">COUNTIFS(Calls!$A$2:$A$9999,$A8,Calls!$B$2:$B$9999,$B8,Calls!$N$2:$N$9999,"Reached*")</f>
        <v>0</v>
      </c>
      <c r="U8" s="31" t="n">
        <f aca="false">COUNTIFS(Calls!$A$2:$A$9999,$A8,Calls!$B$2:$B$9999,$B8,Calls!$O$2:$O$9999,"Interested")+COUNTIFS(Calls!$A$2:$A$9999,$A8,Calls!$B$2:$B$9999,$B8,Calls!$O$2:$O$9999,"Meeting booked")+COUNTIFS(Calls!$A$2:$A$9999,$A8,Calls!$B$2:$B$9999,$B8,Calls!$O$2:$O$9999,"Quote requested")</f>
        <v>0</v>
      </c>
      <c r="V8" s="21"/>
    </row>
    <row r="9" customFormat="false" ht="46.25" hidden="false" customHeight="false" outlineLevel="0" collapsed="false">
      <c r="A9" s="18" t="s">
        <v>276</v>
      </c>
      <c r="B9" s="19" t="n">
        <v>1</v>
      </c>
      <c r="C9" s="18" t="s">
        <v>282</v>
      </c>
      <c r="D9" s="22" t="s">
        <v>280</v>
      </c>
      <c r="E9" s="18" t="s">
        <v>281</v>
      </c>
      <c r="F9" s="21" t="s">
        <v>284</v>
      </c>
      <c r="G9" s="18" t="s">
        <v>1559</v>
      </c>
      <c r="H9" s="18" t="s">
        <v>42</v>
      </c>
      <c r="I9" s="29" t="n">
        <v>45919</v>
      </c>
      <c r="J9" s="29"/>
      <c r="K9" s="24" t="n">
        <v>790000</v>
      </c>
      <c r="L9" s="21" t="s">
        <v>229</v>
      </c>
      <c r="M9" s="18"/>
      <c r="N9" s="21" t="s">
        <v>1560</v>
      </c>
      <c r="O9" s="21" t="s">
        <v>285</v>
      </c>
      <c r="P9" s="29" t="n">
        <v>45925</v>
      </c>
      <c r="Q9" s="21"/>
      <c r="R9" s="21" t="s">
        <v>277</v>
      </c>
      <c r="S9" s="19" t="n">
        <f aca="false">COUNTIFS(Calls!$A$2:$A$9999,$A9,Calls!$B$2:$B$9999,$B9)</f>
        <v>1</v>
      </c>
      <c r="T9" s="19" t="n">
        <f aca="false">COUNTIFS(Calls!$A$2:$A$9999,$A9,Calls!$B$2:$B$9999,$B9,Calls!$N$2:$N$9999,"Reached*")</f>
        <v>0</v>
      </c>
      <c r="U9" s="31" t="n">
        <f aca="false">COUNTIFS(Calls!$A$2:$A$9999,$A9,Calls!$B$2:$B$9999,$B9,Calls!$O$2:$O$9999,"Interested")+COUNTIFS(Calls!$A$2:$A$9999,$A9,Calls!$B$2:$B$9999,$B9,Calls!$O$2:$O$9999,"Meeting booked")+COUNTIFS(Calls!$A$2:$A$9999,$A9,Calls!$B$2:$B$9999,$B9,Calls!$O$2:$O$9999,"Quote requested")</f>
        <v>0</v>
      </c>
      <c r="V9" s="21"/>
    </row>
    <row r="10" customFormat="false" ht="35.05" hidden="false" customHeight="false" outlineLevel="0" collapsed="false">
      <c r="A10" s="18" t="s">
        <v>286</v>
      </c>
      <c r="B10" s="19" t="n">
        <v>1</v>
      </c>
      <c r="C10" s="18" t="s">
        <v>292</v>
      </c>
      <c r="D10" s="22" t="s">
        <v>291</v>
      </c>
      <c r="E10" s="18" t="s">
        <v>182</v>
      </c>
      <c r="F10" s="21" t="s">
        <v>295</v>
      </c>
      <c r="G10" s="18" t="s">
        <v>1561</v>
      </c>
      <c r="H10" s="18" t="s">
        <v>43</v>
      </c>
      <c r="I10" s="29" t="n">
        <v>45135</v>
      </c>
      <c r="J10" s="29" t="n">
        <v>45939</v>
      </c>
      <c r="K10" s="24" t="n">
        <v>500000</v>
      </c>
      <c r="L10" s="21" t="s">
        <v>149</v>
      </c>
      <c r="M10" s="18"/>
      <c r="N10" s="21" t="s">
        <v>1562</v>
      </c>
      <c r="O10" s="21" t="s">
        <v>296</v>
      </c>
      <c r="P10" s="29" t="n">
        <v>45939</v>
      </c>
      <c r="Q10" s="21" t="s">
        <v>287</v>
      </c>
      <c r="R10" s="21" t="s">
        <v>297</v>
      </c>
      <c r="S10" s="19" t="n">
        <f aca="false">COUNTIFS(Calls!$A$2:$A$9999,$A10,Calls!$B$2:$B$9999,$B10)</f>
        <v>2</v>
      </c>
      <c r="T10" s="19" t="n">
        <f aca="false">COUNTIFS(Calls!$A$2:$A$9999,$A10,Calls!$B$2:$B$9999,$B10,Calls!$N$2:$N$9999,"Reached*")</f>
        <v>0</v>
      </c>
      <c r="U10" s="31" t="n">
        <f aca="false">COUNTIFS(Calls!$A$2:$A$9999,$A10,Calls!$B$2:$B$9999,$B10,Calls!$O$2:$O$9999,"Interested")+COUNTIFS(Calls!$A$2:$A$9999,$A10,Calls!$B$2:$B$9999,$B10,Calls!$O$2:$O$9999,"Meeting booked")+COUNTIFS(Calls!$A$2:$A$9999,$A10,Calls!$B$2:$B$9999,$B10,Calls!$O$2:$O$9999,"Quote requested")</f>
        <v>0</v>
      </c>
      <c r="V10" s="21"/>
    </row>
    <row r="11" customFormat="false" ht="57.45" hidden="false" customHeight="false" outlineLevel="0" collapsed="false">
      <c r="A11" s="18" t="s">
        <v>303</v>
      </c>
      <c r="B11" s="19" t="n">
        <v>1</v>
      </c>
      <c r="C11" s="18" t="s">
        <v>307</v>
      </c>
      <c r="D11" s="22" t="s">
        <v>305</v>
      </c>
      <c r="E11" s="18" t="s">
        <v>306</v>
      </c>
      <c r="F11" s="21" t="s">
        <v>309</v>
      </c>
      <c r="G11" s="18" t="s">
        <v>1563</v>
      </c>
      <c r="H11" s="18" t="s">
        <v>42</v>
      </c>
      <c r="I11" s="29" t="n">
        <v>46002</v>
      </c>
      <c r="J11" s="29"/>
      <c r="K11" s="24" t="n">
        <v>300000</v>
      </c>
      <c r="L11" s="21" t="s">
        <v>149</v>
      </c>
      <c r="M11" s="18" t="s">
        <v>1564</v>
      </c>
      <c r="N11" s="21" t="s">
        <v>1565</v>
      </c>
      <c r="O11" s="21" t="s">
        <v>310</v>
      </c>
      <c r="P11" s="29" t="n">
        <v>46008</v>
      </c>
      <c r="Q11" s="21" t="s">
        <v>304</v>
      </c>
      <c r="R11" s="21" t="s">
        <v>311</v>
      </c>
      <c r="S11" s="19" t="n">
        <f aca="false">COUNTIFS(Calls!$A$2:$A$9999,$A11,Calls!$B$2:$B$9999,$B11)</f>
        <v>2</v>
      </c>
      <c r="T11" s="19" t="n">
        <f aca="false">COUNTIFS(Calls!$A$2:$A$9999,$A11,Calls!$B$2:$B$9999,$B11,Calls!$N$2:$N$9999,"Reached*")</f>
        <v>0</v>
      </c>
      <c r="U11" s="31" t="n">
        <f aca="false">COUNTIFS(Calls!$A$2:$A$9999,$A11,Calls!$B$2:$B$9999,$B11,Calls!$O$2:$O$9999,"Interested")+COUNTIFS(Calls!$A$2:$A$9999,$A11,Calls!$B$2:$B$9999,$B11,Calls!$O$2:$O$9999,"Meeting booked")+COUNTIFS(Calls!$A$2:$A$9999,$A11,Calls!$B$2:$B$9999,$B11,Calls!$O$2:$O$9999,"Quote requested")</f>
        <v>0</v>
      </c>
      <c r="V11" s="21"/>
    </row>
    <row r="12" customFormat="false" ht="57.45" hidden="false" customHeight="false" outlineLevel="0" collapsed="false">
      <c r="A12" s="18" t="s">
        <v>315</v>
      </c>
      <c r="B12" s="19" t="n">
        <v>1</v>
      </c>
      <c r="C12" s="18" t="s">
        <v>321</v>
      </c>
      <c r="D12" s="22" t="s">
        <v>319</v>
      </c>
      <c r="E12" s="18" t="s">
        <v>320</v>
      </c>
      <c r="F12" s="21" t="s">
        <v>324</v>
      </c>
      <c r="G12" s="18" t="s">
        <v>1566</v>
      </c>
      <c r="H12" s="18" t="s">
        <v>42</v>
      </c>
      <c r="I12" s="29" t="n">
        <v>45932</v>
      </c>
      <c r="J12" s="29"/>
      <c r="K12" s="24" t="n">
        <v>580000</v>
      </c>
      <c r="L12" s="21" t="s">
        <v>149</v>
      </c>
      <c r="M12" s="18"/>
      <c r="N12" s="21" t="s">
        <v>1567</v>
      </c>
      <c r="O12" s="21" t="s">
        <v>325</v>
      </c>
      <c r="P12" s="29" t="n">
        <v>45938</v>
      </c>
      <c r="Q12" s="21" t="s">
        <v>316</v>
      </c>
      <c r="R12" s="21"/>
      <c r="S12" s="19" t="n">
        <f aca="false">COUNTIFS(Calls!$A$2:$A$9999,$A12,Calls!$B$2:$B$9999,$B12)</f>
        <v>2</v>
      </c>
      <c r="T12" s="19" t="n">
        <f aca="false">COUNTIFS(Calls!$A$2:$A$9999,$A12,Calls!$B$2:$B$9999,$B12,Calls!$N$2:$N$9999,"Reached*")</f>
        <v>0</v>
      </c>
      <c r="U12" s="31" t="n">
        <f aca="false">COUNTIFS(Calls!$A$2:$A$9999,$A12,Calls!$B$2:$B$9999,$B12,Calls!$O$2:$O$9999,"Interested")+COUNTIFS(Calls!$A$2:$A$9999,$A12,Calls!$B$2:$B$9999,$B12,Calls!$O$2:$O$9999,"Meeting booked")+COUNTIFS(Calls!$A$2:$A$9999,$A12,Calls!$B$2:$B$9999,$B12,Calls!$O$2:$O$9999,"Quote requested")</f>
        <v>0</v>
      </c>
      <c r="V12" s="21"/>
    </row>
    <row r="13" customFormat="false" ht="35.05" hidden="false" customHeight="false" outlineLevel="0" collapsed="false">
      <c r="A13" s="18" t="s">
        <v>332</v>
      </c>
      <c r="B13" s="19" t="n">
        <v>1</v>
      </c>
      <c r="C13" s="18" t="s">
        <v>339</v>
      </c>
      <c r="D13" s="22" t="s">
        <v>337</v>
      </c>
      <c r="E13" s="18" t="s">
        <v>338</v>
      </c>
      <c r="F13" s="21" t="s">
        <v>342</v>
      </c>
      <c r="G13" s="18" t="s">
        <v>1568</v>
      </c>
      <c r="H13" s="18" t="s">
        <v>43</v>
      </c>
      <c r="I13" s="29" t="n">
        <v>45583</v>
      </c>
      <c r="J13" s="29" t="n">
        <v>45735</v>
      </c>
      <c r="K13" s="24" t="n">
        <v>920000</v>
      </c>
      <c r="L13" s="21" t="s">
        <v>229</v>
      </c>
      <c r="M13" s="18"/>
      <c r="N13" s="21" t="s">
        <v>1569</v>
      </c>
      <c r="O13" s="21" t="s">
        <v>343</v>
      </c>
      <c r="P13" s="29" t="n">
        <v>45821</v>
      </c>
      <c r="Q13" s="21" t="s">
        <v>333</v>
      </c>
      <c r="R13" s="21" t="s">
        <v>344</v>
      </c>
      <c r="S13" s="19" t="n">
        <f aca="false">COUNTIFS(Calls!$A$2:$A$9999,$A13,Calls!$B$2:$B$9999,$B13)</f>
        <v>2</v>
      </c>
      <c r="T13" s="19" t="n">
        <f aca="false">COUNTIFS(Calls!$A$2:$A$9999,$A13,Calls!$B$2:$B$9999,$B13,Calls!$N$2:$N$9999,"Reached*")</f>
        <v>0</v>
      </c>
      <c r="U13" s="31" t="n">
        <f aca="false">COUNTIFS(Calls!$A$2:$A$9999,$A13,Calls!$B$2:$B$9999,$B13,Calls!$O$2:$O$9999,"Interested")+COUNTIFS(Calls!$A$2:$A$9999,$A13,Calls!$B$2:$B$9999,$B13,Calls!$O$2:$O$9999,"Meeting booked")+COUNTIFS(Calls!$A$2:$A$9999,$A13,Calls!$B$2:$B$9999,$B13,Calls!$O$2:$O$9999,"Quote requested")</f>
        <v>0</v>
      </c>
      <c r="V13" s="21"/>
    </row>
    <row r="14" customFormat="false" ht="23.85" hidden="false" customHeight="false" outlineLevel="0" collapsed="false">
      <c r="A14" s="18" t="s">
        <v>349</v>
      </c>
      <c r="B14" s="19" t="n">
        <v>1</v>
      </c>
      <c r="C14" s="18" t="s">
        <v>354</v>
      </c>
      <c r="D14" s="22" t="s">
        <v>352</v>
      </c>
      <c r="E14" s="18" t="s">
        <v>353</v>
      </c>
      <c r="F14" s="21" t="s">
        <v>356</v>
      </c>
      <c r="G14" s="18" t="s">
        <v>1570</v>
      </c>
      <c r="H14" s="18" t="s">
        <v>43</v>
      </c>
      <c r="I14" s="29" t="n">
        <v>45730</v>
      </c>
      <c r="J14" s="29" t="n">
        <v>45845</v>
      </c>
      <c r="K14" s="24" t="n">
        <v>500000</v>
      </c>
      <c r="L14" s="21" t="s">
        <v>357</v>
      </c>
      <c r="M14" s="18"/>
      <c r="N14" s="21" t="s">
        <v>1571</v>
      </c>
      <c r="O14" s="21" t="s">
        <v>358</v>
      </c>
      <c r="P14" s="29" t="n">
        <v>45846</v>
      </c>
      <c r="Q14" s="21" t="s">
        <v>350</v>
      </c>
      <c r="R14" s="21" t="s">
        <v>359</v>
      </c>
      <c r="S14" s="19" t="n">
        <f aca="false">COUNTIFS(Calls!$A$2:$A$9999,$A14,Calls!$B$2:$B$9999,$B14)</f>
        <v>2</v>
      </c>
      <c r="T14" s="19" t="n">
        <f aca="false">COUNTIFS(Calls!$A$2:$A$9999,$A14,Calls!$B$2:$B$9999,$B14,Calls!$N$2:$N$9999,"Reached*")</f>
        <v>0</v>
      </c>
      <c r="U14" s="31" t="n">
        <f aca="false">COUNTIFS(Calls!$A$2:$A$9999,$A14,Calls!$B$2:$B$9999,$B14,Calls!$O$2:$O$9999,"Interested")+COUNTIFS(Calls!$A$2:$A$9999,$A14,Calls!$B$2:$B$9999,$B14,Calls!$O$2:$O$9999,"Meeting booked")+COUNTIFS(Calls!$A$2:$A$9999,$A14,Calls!$B$2:$B$9999,$B14,Calls!$O$2:$O$9999,"Quote requested")</f>
        <v>0</v>
      </c>
      <c r="V14" s="21"/>
    </row>
    <row r="15" customFormat="false" ht="57.45" hidden="false" customHeight="false" outlineLevel="0" collapsed="false">
      <c r="A15" s="18" t="s">
        <v>364</v>
      </c>
      <c r="B15" s="19" t="n">
        <v>1</v>
      </c>
      <c r="C15" s="18" t="s">
        <v>370</v>
      </c>
      <c r="D15" s="22" t="s">
        <v>368</v>
      </c>
      <c r="E15" s="18" t="s">
        <v>369</v>
      </c>
      <c r="F15" s="21" t="s">
        <v>373</v>
      </c>
      <c r="G15" s="18" t="s">
        <v>1572</v>
      </c>
      <c r="H15" s="18" t="s">
        <v>43</v>
      </c>
      <c r="I15" s="29" t="n">
        <v>45127</v>
      </c>
      <c r="J15" s="29" t="n">
        <v>45251</v>
      </c>
      <c r="K15" s="24" t="n">
        <v>12000000</v>
      </c>
      <c r="L15" s="21" t="s">
        <v>254</v>
      </c>
      <c r="M15" s="18"/>
      <c r="N15" s="21" t="s">
        <v>1573</v>
      </c>
      <c r="O15" s="21" t="s">
        <v>374</v>
      </c>
      <c r="P15" s="29" t="n">
        <v>45257</v>
      </c>
      <c r="Q15" s="21" t="s">
        <v>1574</v>
      </c>
      <c r="R15" s="21"/>
      <c r="S15" s="19" t="n">
        <f aca="false">COUNTIFS(Calls!$A$2:$A$9999,$A15,Calls!$B$2:$B$9999,$B15)</f>
        <v>4</v>
      </c>
      <c r="T15" s="19" t="n">
        <f aca="false">COUNTIFS(Calls!$A$2:$A$9999,$A15,Calls!$B$2:$B$9999,$B15,Calls!$N$2:$N$9999,"Reached*")</f>
        <v>0</v>
      </c>
      <c r="U15" s="31" t="n">
        <f aca="false">COUNTIFS(Calls!$A$2:$A$9999,$A15,Calls!$B$2:$B$9999,$B15,Calls!$O$2:$O$9999,"Interested")+COUNTIFS(Calls!$A$2:$A$9999,$A15,Calls!$B$2:$B$9999,$B15,Calls!$O$2:$O$9999,"Meeting booked")+COUNTIFS(Calls!$A$2:$A$9999,$A15,Calls!$B$2:$B$9999,$B15,Calls!$O$2:$O$9999,"Quote requested")</f>
        <v>0</v>
      </c>
      <c r="V15" s="21" t="s">
        <v>375</v>
      </c>
    </row>
    <row r="16" customFormat="false" ht="15" hidden="false" customHeight="false" outlineLevel="0" collapsed="false">
      <c r="A16" s="18" t="s">
        <v>384</v>
      </c>
      <c r="B16" s="19" t="n">
        <v>1</v>
      </c>
      <c r="C16" s="18" t="s">
        <v>388</v>
      </c>
      <c r="D16" s="22" t="s">
        <v>387</v>
      </c>
      <c r="E16" s="18" t="s">
        <v>143</v>
      </c>
      <c r="F16" s="21" t="s">
        <v>389</v>
      </c>
      <c r="G16" s="18" t="s">
        <v>1575</v>
      </c>
      <c r="H16" s="18" t="s">
        <v>43</v>
      </c>
      <c r="I16" s="29"/>
      <c r="J16" s="29" t="n">
        <v>45854</v>
      </c>
      <c r="K16" s="24" t="n">
        <v>50000</v>
      </c>
      <c r="L16" s="21" t="s">
        <v>149</v>
      </c>
      <c r="M16" s="18" t="s">
        <v>1546</v>
      </c>
      <c r="N16" s="21" t="s">
        <v>1549</v>
      </c>
      <c r="O16" s="21" t="s">
        <v>387</v>
      </c>
      <c r="P16" s="29" t="n">
        <v>45854</v>
      </c>
      <c r="Q16" s="21" t="s">
        <v>385</v>
      </c>
      <c r="R16" s="21" t="s">
        <v>391</v>
      </c>
      <c r="S16" s="19" t="n">
        <f aca="false">COUNTIFS(Calls!$A$2:$A$9999,$A16,Calls!$B$2:$B$9999,$B16)</f>
        <v>2</v>
      </c>
      <c r="T16" s="19" t="n">
        <f aca="false">COUNTIFS(Calls!$A$2:$A$9999,$A16,Calls!$B$2:$B$9999,$B16,Calls!$N$2:$N$9999,"Reached*")</f>
        <v>0</v>
      </c>
      <c r="U16" s="31" t="n">
        <f aca="false">COUNTIFS(Calls!$A$2:$A$9999,$A16,Calls!$B$2:$B$9999,$B16,Calls!$O$2:$O$9999,"Interested")+COUNTIFS(Calls!$A$2:$A$9999,$A16,Calls!$B$2:$B$9999,$B16,Calls!$O$2:$O$9999,"Meeting booked")+COUNTIFS(Calls!$A$2:$A$9999,$A16,Calls!$B$2:$B$9999,$B16,Calls!$O$2:$O$9999,"Quote requested")</f>
        <v>0</v>
      </c>
      <c r="V16" s="21"/>
    </row>
    <row r="17" customFormat="false" ht="23.85" hidden="false" customHeight="false" outlineLevel="0" collapsed="false">
      <c r="A17" s="18" t="s">
        <v>397</v>
      </c>
      <c r="B17" s="19" t="n">
        <v>1</v>
      </c>
      <c r="C17" s="18" t="s">
        <v>401</v>
      </c>
      <c r="D17" s="22" t="s">
        <v>400</v>
      </c>
      <c r="E17" s="18" t="s">
        <v>369</v>
      </c>
      <c r="F17" s="21" t="s">
        <v>373</v>
      </c>
      <c r="G17" s="18" t="s">
        <v>1572</v>
      </c>
      <c r="H17" s="18" t="s">
        <v>43</v>
      </c>
      <c r="I17" s="29"/>
      <c r="J17" s="29" t="n">
        <v>45854</v>
      </c>
      <c r="K17" s="24" t="n">
        <v>200000</v>
      </c>
      <c r="L17" s="21" t="s">
        <v>254</v>
      </c>
      <c r="M17" s="18" t="s">
        <v>1546</v>
      </c>
      <c r="N17" s="21" t="s">
        <v>1576</v>
      </c>
      <c r="O17" s="21" t="s">
        <v>403</v>
      </c>
      <c r="P17" s="29" t="n">
        <v>45854</v>
      </c>
      <c r="Q17" s="21" t="s">
        <v>398</v>
      </c>
      <c r="R17" s="21" t="s">
        <v>404</v>
      </c>
      <c r="S17" s="19" t="n">
        <f aca="false">COUNTIFS(Calls!$A$2:$A$9999,$A17,Calls!$B$2:$B$9999,$B17)</f>
        <v>2</v>
      </c>
      <c r="T17" s="19" t="n">
        <f aca="false">COUNTIFS(Calls!$A$2:$A$9999,$A17,Calls!$B$2:$B$9999,$B17,Calls!$N$2:$N$9999,"Reached*")</f>
        <v>0</v>
      </c>
      <c r="U17" s="31" t="n">
        <f aca="false">COUNTIFS(Calls!$A$2:$A$9999,$A17,Calls!$B$2:$B$9999,$B17,Calls!$O$2:$O$9999,"Interested")+COUNTIFS(Calls!$A$2:$A$9999,$A17,Calls!$B$2:$B$9999,$B17,Calls!$O$2:$O$9999,"Meeting booked")+COUNTIFS(Calls!$A$2:$A$9999,$A17,Calls!$B$2:$B$9999,$B17,Calls!$O$2:$O$9999,"Quote requested")</f>
        <v>0</v>
      </c>
      <c r="V17" s="21"/>
    </row>
    <row r="18" customFormat="false" ht="23.85" hidden="false" customHeight="false" outlineLevel="0" collapsed="false">
      <c r="A18" s="18" t="s">
        <v>410</v>
      </c>
      <c r="B18" s="19" t="n">
        <v>1</v>
      </c>
      <c r="C18" s="18" t="s">
        <v>417</v>
      </c>
      <c r="D18" s="22" t="s">
        <v>415</v>
      </c>
      <c r="E18" s="18" t="s">
        <v>416</v>
      </c>
      <c r="F18" s="21" t="s">
        <v>420</v>
      </c>
      <c r="G18" s="18" t="s">
        <v>1577</v>
      </c>
      <c r="H18" s="18" t="s">
        <v>43</v>
      </c>
      <c r="I18" s="29"/>
      <c r="J18" s="29" t="n">
        <v>45854</v>
      </c>
      <c r="K18" s="24" t="n">
        <v>120000</v>
      </c>
      <c r="L18" s="21" t="s">
        <v>149</v>
      </c>
      <c r="M18" s="18" t="s">
        <v>1546</v>
      </c>
      <c r="N18" s="21" t="s">
        <v>1549</v>
      </c>
      <c r="O18" s="21" t="s">
        <v>415</v>
      </c>
      <c r="P18" s="29" t="n">
        <v>45854</v>
      </c>
      <c r="Q18" s="21" t="s">
        <v>411</v>
      </c>
      <c r="R18" s="21" t="s">
        <v>421</v>
      </c>
      <c r="S18" s="19" t="n">
        <f aca="false">COUNTIFS(Calls!$A$2:$A$9999,$A18,Calls!$B$2:$B$9999,$B18)</f>
        <v>2</v>
      </c>
      <c r="T18" s="19" t="n">
        <f aca="false">COUNTIFS(Calls!$A$2:$A$9999,$A18,Calls!$B$2:$B$9999,$B18,Calls!$N$2:$N$9999,"Reached*")</f>
        <v>0</v>
      </c>
      <c r="U18" s="31" t="n">
        <f aca="false">COUNTIFS(Calls!$A$2:$A$9999,$A18,Calls!$B$2:$B$9999,$B18,Calls!$O$2:$O$9999,"Interested")+COUNTIFS(Calls!$A$2:$A$9999,$A18,Calls!$B$2:$B$9999,$B18,Calls!$O$2:$O$9999,"Meeting booked")+COUNTIFS(Calls!$A$2:$A$9999,$A18,Calls!$B$2:$B$9999,$B18,Calls!$O$2:$O$9999,"Quote requested")</f>
        <v>0</v>
      </c>
      <c r="V18" s="21"/>
    </row>
    <row r="19" customFormat="false" ht="23.85" hidden="false" customHeight="false" outlineLevel="0" collapsed="false">
      <c r="A19" s="18" t="s">
        <v>427</v>
      </c>
      <c r="B19" s="19" t="n">
        <v>1</v>
      </c>
      <c r="C19" s="18" t="s">
        <v>432</v>
      </c>
      <c r="D19" s="22" t="s">
        <v>431</v>
      </c>
      <c r="E19" s="18" t="s">
        <v>182</v>
      </c>
      <c r="F19" s="21" t="s">
        <v>435</v>
      </c>
      <c r="G19" s="18" t="s">
        <v>1578</v>
      </c>
      <c r="H19" s="18" t="s">
        <v>43</v>
      </c>
      <c r="I19" s="29"/>
      <c r="J19" s="29" t="n">
        <v>45855</v>
      </c>
      <c r="K19" s="24" t="n">
        <v>80000</v>
      </c>
      <c r="L19" s="21" t="s">
        <v>254</v>
      </c>
      <c r="M19" s="18" t="s">
        <v>1546</v>
      </c>
      <c r="N19" s="21" t="s">
        <v>1579</v>
      </c>
      <c r="O19" s="21" t="s">
        <v>436</v>
      </c>
      <c r="P19" s="29" t="n">
        <v>45855</v>
      </c>
      <c r="Q19" s="21" t="s">
        <v>428</v>
      </c>
      <c r="R19" s="21"/>
      <c r="S19" s="19" t="n">
        <f aca="false">COUNTIFS(Calls!$A$2:$A$9999,$A19,Calls!$B$2:$B$9999,$B19)</f>
        <v>1</v>
      </c>
      <c r="T19" s="19" t="n">
        <f aca="false">COUNTIFS(Calls!$A$2:$A$9999,$A19,Calls!$B$2:$B$9999,$B19,Calls!$N$2:$N$9999,"Reached*")</f>
        <v>0</v>
      </c>
      <c r="U19" s="31" t="n">
        <f aca="false">COUNTIFS(Calls!$A$2:$A$9999,$A19,Calls!$B$2:$B$9999,$B19,Calls!$O$2:$O$9999,"Interested")+COUNTIFS(Calls!$A$2:$A$9999,$A19,Calls!$B$2:$B$9999,$B19,Calls!$O$2:$O$9999,"Meeting booked")+COUNTIFS(Calls!$A$2:$A$9999,$A19,Calls!$B$2:$B$9999,$B19,Calls!$O$2:$O$9999,"Quote requested")</f>
        <v>0</v>
      </c>
      <c r="V19" s="21"/>
    </row>
    <row r="20" customFormat="false" ht="23.85" hidden="false" customHeight="false" outlineLevel="0" collapsed="false">
      <c r="A20" s="18" t="s">
        <v>437</v>
      </c>
      <c r="B20" s="19" t="n">
        <v>1</v>
      </c>
      <c r="C20" s="18" t="s">
        <v>443</v>
      </c>
      <c r="D20" s="22" t="s">
        <v>442</v>
      </c>
      <c r="E20" s="18" t="s">
        <v>156</v>
      </c>
      <c r="F20" s="21" t="s">
        <v>446</v>
      </c>
      <c r="G20" s="18" t="s">
        <v>1580</v>
      </c>
      <c r="H20" s="18" t="s">
        <v>43</v>
      </c>
      <c r="I20" s="29"/>
      <c r="J20" s="29" t="n">
        <v>45855</v>
      </c>
      <c r="K20" s="24" t="n">
        <v>50000</v>
      </c>
      <c r="L20" s="21" t="s">
        <v>149</v>
      </c>
      <c r="M20" s="18" t="s">
        <v>1546</v>
      </c>
      <c r="N20" s="21" t="s">
        <v>1549</v>
      </c>
      <c r="O20" s="21" t="s">
        <v>447</v>
      </c>
      <c r="P20" s="29" t="n">
        <v>45855</v>
      </c>
      <c r="Q20" s="21" t="s">
        <v>438</v>
      </c>
      <c r="R20" s="21" t="s">
        <v>448</v>
      </c>
      <c r="S20" s="19" t="n">
        <f aca="false">COUNTIFS(Calls!$A$2:$A$9999,$A20,Calls!$B$2:$B$9999,$B20)</f>
        <v>2</v>
      </c>
      <c r="T20" s="19" t="n">
        <f aca="false">COUNTIFS(Calls!$A$2:$A$9999,$A20,Calls!$B$2:$B$9999,$B20,Calls!$N$2:$N$9999,"Reached*")</f>
        <v>0</v>
      </c>
      <c r="U20" s="31" t="n">
        <f aca="false">COUNTIFS(Calls!$A$2:$A$9999,$A20,Calls!$B$2:$B$9999,$B20,Calls!$O$2:$O$9999,"Interested")+COUNTIFS(Calls!$A$2:$A$9999,$A20,Calls!$B$2:$B$9999,$B20,Calls!$O$2:$O$9999,"Meeting booked")+COUNTIFS(Calls!$A$2:$A$9999,$A20,Calls!$B$2:$B$9999,$B20,Calls!$O$2:$O$9999,"Quote requested")</f>
        <v>0</v>
      </c>
      <c r="V20" s="21"/>
    </row>
    <row r="21" customFormat="false" ht="23.85" hidden="false" customHeight="false" outlineLevel="0" collapsed="false">
      <c r="A21" s="18" t="s">
        <v>454</v>
      </c>
      <c r="B21" s="19" t="n">
        <v>1</v>
      </c>
      <c r="C21" s="18" t="s">
        <v>461</v>
      </c>
      <c r="D21" s="22" t="s">
        <v>459</v>
      </c>
      <c r="E21" s="18" t="s">
        <v>460</v>
      </c>
      <c r="F21" s="21" t="s">
        <v>464</v>
      </c>
      <c r="G21" s="18" t="s">
        <v>1581</v>
      </c>
      <c r="H21" s="18" t="s">
        <v>43</v>
      </c>
      <c r="I21" s="29"/>
      <c r="J21" s="29" t="n">
        <v>45855</v>
      </c>
      <c r="K21" s="24" t="n">
        <v>50000</v>
      </c>
      <c r="L21" s="21" t="s">
        <v>229</v>
      </c>
      <c r="M21" s="18" t="s">
        <v>1546</v>
      </c>
      <c r="N21" s="21" t="s">
        <v>1582</v>
      </c>
      <c r="O21" s="21" t="s">
        <v>465</v>
      </c>
      <c r="P21" s="29" t="n">
        <v>45855</v>
      </c>
      <c r="Q21" s="21" t="s">
        <v>455</v>
      </c>
      <c r="R21" s="21" t="s">
        <v>466</v>
      </c>
      <c r="S21" s="19" t="n">
        <f aca="false">COUNTIFS(Calls!$A$2:$A$9999,$A21,Calls!$B$2:$B$9999,$B21)</f>
        <v>2</v>
      </c>
      <c r="T21" s="19" t="n">
        <f aca="false">COUNTIFS(Calls!$A$2:$A$9999,$A21,Calls!$B$2:$B$9999,$B21,Calls!$N$2:$N$9999,"Reached*")</f>
        <v>0</v>
      </c>
      <c r="U21" s="31" t="n">
        <f aca="false">COUNTIFS(Calls!$A$2:$A$9999,$A21,Calls!$B$2:$B$9999,$B21,Calls!$O$2:$O$9999,"Interested")+COUNTIFS(Calls!$A$2:$A$9999,$A21,Calls!$B$2:$B$9999,$B21,Calls!$O$2:$O$9999,"Meeting booked")+COUNTIFS(Calls!$A$2:$A$9999,$A21,Calls!$B$2:$B$9999,$B21,Calls!$O$2:$O$9999,"Quote requested")</f>
        <v>0</v>
      </c>
      <c r="V21" s="21"/>
    </row>
    <row r="22" customFormat="false" ht="23.85" hidden="false" customHeight="false" outlineLevel="0" collapsed="false">
      <c r="A22" s="18" t="s">
        <v>471</v>
      </c>
      <c r="B22" s="19" t="n">
        <v>1</v>
      </c>
      <c r="C22" s="18" t="s">
        <v>478</v>
      </c>
      <c r="D22" s="22" t="s">
        <v>476</v>
      </c>
      <c r="E22" s="18" t="s">
        <v>477</v>
      </c>
      <c r="F22" s="21" t="s">
        <v>481</v>
      </c>
      <c r="G22" s="18" t="s">
        <v>1583</v>
      </c>
      <c r="H22" s="18" t="s">
        <v>43</v>
      </c>
      <c r="I22" s="29"/>
      <c r="J22" s="29" t="n">
        <v>45859</v>
      </c>
      <c r="K22" s="24" t="n">
        <v>200000</v>
      </c>
      <c r="L22" s="21" t="s">
        <v>149</v>
      </c>
      <c r="M22" s="18" t="s">
        <v>1546</v>
      </c>
      <c r="N22" s="21" t="s">
        <v>1549</v>
      </c>
      <c r="O22" s="21" t="s">
        <v>482</v>
      </c>
      <c r="P22" s="29" t="n">
        <v>45859</v>
      </c>
      <c r="Q22" s="21" t="s">
        <v>472</v>
      </c>
      <c r="R22" s="21" t="s">
        <v>483</v>
      </c>
      <c r="S22" s="19" t="n">
        <f aca="false">COUNTIFS(Calls!$A$2:$A$9999,$A22,Calls!$B$2:$B$9999,$B22)</f>
        <v>2</v>
      </c>
      <c r="T22" s="19" t="n">
        <f aca="false">COUNTIFS(Calls!$A$2:$A$9999,$A22,Calls!$B$2:$B$9999,$B22,Calls!$N$2:$N$9999,"Reached*")</f>
        <v>0</v>
      </c>
      <c r="U22" s="31" t="n">
        <f aca="false">COUNTIFS(Calls!$A$2:$A$9999,$A22,Calls!$B$2:$B$9999,$B22,Calls!$O$2:$O$9999,"Interested")+COUNTIFS(Calls!$A$2:$A$9999,$A22,Calls!$B$2:$B$9999,$B22,Calls!$O$2:$O$9999,"Meeting booked")+COUNTIFS(Calls!$A$2:$A$9999,$A22,Calls!$B$2:$B$9999,$B22,Calls!$O$2:$O$9999,"Quote requested")</f>
        <v>0</v>
      </c>
      <c r="V22" s="21"/>
    </row>
    <row r="23" customFormat="false" ht="23.85" hidden="false" customHeight="false" outlineLevel="0" collapsed="false">
      <c r="A23" s="18" t="s">
        <v>489</v>
      </c>
      <c r="B23" s="19" t="n">
        <v>1</v>
      </c>
      <c r="C23" s="18" t="s">
        <v>494</v>
      </c>
      <c r="D23" s="22" t="s">
        <v>493</v>
      </c>
      <c r="E23" s="18" t="s">
        <v>161</v>
      </c>
      <c r="F23" s="21" t="s">
        <v>496</v>
      </c>
      <c r="G23" s="18" t="s">
        <v>1584</v>
      </c>
      <c r="H23" s="18" t="s">
        <v>43</v>
      </c>
      <c r="I23" s="29"/>
      <c r="J23" s="29" t="n">
        <v>45860</v>
      </c>
      <c r="K23" s="24" t="n">
        <v>70000</v>
      </c>
      <c r="L23" s="21" t="s">
        <v>149</v>
      </c>
      <c r="M23" s="18" t="s">
        <v>1546</v>
      </c>
      <c r="N23" s="21" t="s">
        <v>1549</v>
      </c>
      <c r="O23" s="21" t="s">
        <v>493</v>
      </c>
      <c r="P23" s="29" t="n">
        <v>45861</v>
      </c>
      <c r="Q23" s="21" t="s">
        <v>490</v>
      </c>
      <c r="R23" s="21" t="s">
        <v>497</v>
      </c>
      <c r="S23" s="19" t="n">
        <f aca="false">COUNTIFS(Calls!$A$2:$A$9999,$A23,Calls!$B$2:$B$9999,$B23)</f>
        <v>2</v>
      </c>
      <c r="T23" s="19" t="n">
        <f aca="false">COUNTIFS(Calls!$A$2:$A$9999,$A23,Calls!$B$2:$B$9999,$B23,Calls!$N$2:$N$9999,"Reached*")</f>
        <v>0</v>
      </c>
      <c r="U23" s="31" t="n">
        <f aca="false">COUNTIFS(Calls!$A$2:$A$9999,$A23,Calls!$B$2:$B$9999,$B23,Calls!$O$2:$O$9999,"Interested")+COUNTIFS(Calls!$A$2:$A$9999,$A23,Calls!$B$2:$B$9999,$B23,Calls!$O$2:$O$9999,"Meeting booked")+COUNTIFS(Calls!$A$2:$A$9999,$A23,Calls!$B$2:$B$9999,$B23,Calls!$O$2:$O$9999,"Quote requested")</f>
        <v>0</v>
      </c>
      <c r="V23" s="21"/>
    </row>
    <row r="24" customFormat="false" ht="23.85" hidden="false" customHeight="false" outlineLevel="0" collapsed="false">
      <c r="A24" s="18" t="s">
        <v>503</v>
      </c>
      <c r="B24" s="19" t="n">
        <v>1</v>
      </c>
      <c r="C24" s="18" t="s">
        <v>510</v>
      </c>
      <c r="D24" s="22" t="s">
        <v>508</v>
      </c>
      <c r="E24" s="18" t="s">
        <v>509</v>
      </c>
      <c r="F24" s="21" t="s">
        <v>513</v>
      </c>
      <c r="G24" s="18" t="s">
        <v>1585</v>
      </c>
      <c r="H24" s="18" t="s">
        <v>43</v>
      </c>
      <c r="I24" s="29"/>
      <c r="J24" s="29" t="n">
        <v>45861</v>
      </c>
      <c r="K24" s="24" t="n">
        <v>50000</v>
      </c>
      <c r="L24" s="21" t="s">
        <v>149</v>
      </c>
      <c r="M24" s="18" t="s">
        <v>1546</v>
      </c>
      <c r="N24" s="21" t="s">
        <v>1549</v>
      </c>
      <c r="O24" s="21" t="s">
        <v>514</v>
      </c>
      <c r="P24" s="29" t="n">
        <v>45861</v>
      </c>
      <c r="Q24" s="21" t="s">
        <v>504</v>
      </c>
      <c r="R24" s="21" t="s">
        <v>516</v>
      </c>
      <c r="S24" s="19" t="n">
        <f aca="false">COUNTIFS(Calls!$A$2:$A$9999,$A24,Calls!$B$2:$B$9999,$B24)</f>
        <v>2</v>
      </c>
      <c r="T24" s="19" t="n">
        <f aca="false">COUNTIFS(Calls!$A$2:$A$9999,$A24,Calls!$B$2:$B$9999,$B24,Calls!$N$2:$N$9999,"Reached*")</f>
        <v>0</v>
      </c>
      <c r="U24" s="31" t="n">
        <f aca="false">COUNTIFS(Calls!$A$2:$A$9999,$A24,Calls!$B$2:$B$9999,$B24,Calls!$O$2:$O$9999,"Interested")+COUNTIFS(Calls!$A$2:$A$9999,$A24,Calls!$B$2:$B$9999,$B24,Calls!$O$2:$O$9999,"Meeting booked")+COUNTIFS(Calls!$A$2:$A$9999,$A24,Calls!$B$2:$B$9999,$B24,Calls!$O$2:$O$9999,"Quote requested")</f>
        <v>0</v>
      </c>
      <c r="V24" s="21" t="s">
        <v>515</v>
      </c>
    </row>
    <row r="25" customFormat="false" ht="23.85" hidden="false" customHeight="false" outlineLevel="0" collapsed="false">
      <c r="A25" s="18" t="s">
        <v>522</v>
      </c>
      <c r="B25" s="19" t="n">
        <v>1</v>
      </c>
      <c r="C25" s="18" t="s">
        <v>527</v>
      </c>
      <c r="D25" s="22" t="s">
        <v>526</v>
      </c>
      <c r="E25" s="18" t="s">
        <v>143</v>
      </c>
      <c r="F25" s="21" t="s">
        <v>530</v>
      </c>
      <c r="G25" s="18" t="s">
        <v>1586</v>
      </c>
      <c r="H25" s="18" t="s">
        <v>43</v>
      </c>
      <c r="I25" s="29"/>
      <c r="J25" s="29" t="n">
        <v>45861</v>
      </c>
      <c r="K25" s="24" t="n">
        <v>70000</v>
      </c>
      <c r="L25" s="21" t="s">
        <v>149</v>
      </c>
      <c r="M25" s="18" t="s">
        <v>1546</v>
      </c>
      <c r="N25" s="21" t="s">
        <v>1587</v>
      </c>
      <c r="O25" s="21" t="s">
        <v>531</v>
      </c>
      <c r="P25" s="29" t="n">
        <v>45861</v>
      </c>
      <c r="Q25" s="21" t="s">
        <v>523</v>
      </c>
      <c r="R25" s="21" t="s">
        <v>152</v>
      </c>
      <c r="S25" s="19" t="n">
        <f aca="false">COUNTIFS(Calls!$A$2:$A$9999,$A25,Calls!$B$2:$B$9999,$B25)</f>
        <v>2</v>
      </c>
      <c r="T25" s="19" t="n">
        <f aca="false">COUNTIFS(Calls!$A$2:$A$9999,$A25,Calls!$B$2:$B$9999,$B25,Calls!$N$2:$N$9999,"Reached*")</f>
        <v>0</v>
      </c>
      <c r="U25" s="31" t="n">
        <f aca="false">COUNTIFS(Calls!$A$2:$A$9999,$A25,Calls!$B$2:$B$9999,$B25,Calls!$O$2:$O$9999,"Interested")+COUNTIFS(Calls!$A$2:$A$9999,$A25,Calls!$B$2:$B$9999,$B25,Calls!$O$2:$O$9999,"Meeting booked")+COUNTIFS(Calls!$A$2:$A$9999,$A25,Calls!$B$2:$B$9999,$B25,Calls!$O$2:$O$9999,"Quote requested")</f>
        <v>0</v>
      </c>
      <c r="V25" s="21"/>
    </row>
    <row r="26" customFormat="false" ht="15" hidden="false" customHeight="false" outlineLevel="0" collapsed="false">
      <c r="A26" s="18" t="s">
        <v>532</v>
      </c>
      <c r="B26" s="19" t="n">
        <v>1</v>
      </c>
      <c r="C26" s="18" t="s">
        <v>538</v>
      </c>
      <c r="D26" s="22" t="s">
        <v>536</v>
      </c>
      <c r="E26" s="18" t="s">
        <v>537</v>
      </c>
      <c r="F26" s="21" t="s">
        <v>541</v>
      </c>
      <c r="G26" s="18" t="s">
        <v>1588</v>
      </c>
      <c r="H26" s="18" t="s">
        <v>43</v>
      </c>
      <c r="I26" s="29"/>
      <c r="J26" s="29" t="n">
        <v>45860</v>
      </c>
      <c r="K26" s="24" t="n">
        <v>90000</v>
      </c>
      <c r="L26" s="21" t="s">
        <v>149</v>
      </c>
      <c r="M26" s="18" t="s">
        <v>1546</v>
      </c>
      <c r="N26" s="21" t="s">
        <v>1547</v>
      </c>
      <c r="O26" s="21" t="s">
        <v>542</v>
      </c>
      <c r="P26" s="29" t="n">
        <v>45861</v>
      </c>
      <c r="Q26" s="21" t="s">
        <v>533</v>
      </c>
      <c r="R26" s="21" t="s">
        <v>543</v>
      </c>
      <c r="S26" s="19" t="n">
        <f aca="false">COUNTIFS(Calls!$A$2:$A$9999,$A26,Calls!$B$2:$B$9999,$B26)</f>
        <v>2</v>
      </c>
      <c r="T26" s="19" t="n">
        <f aca="false">COUNTIFS(Calls!$A$2:$A$9999,$A26,Calls!$B$2:$B$9999,$B26,Calls!$N$2:$N$9999,"Reached*")</f>
        <v>0</v>
      </c>
      <c r="U26" s="31" t="n">
        <f aca="false">COUNTIFS(Calls!$A$2:$A$9999,$A26,Calls!$B$2:$B$9999,$B26,Calls!$O$2:$O$9999,"Interested")+COUNTIFS(Calls!$A$2:$A$9999,$A26,Calls!$B$2:$B$9999,$B26,Calls!$O$2:$O$9999,"Meeting booked")+COUNTIFS(Calls!$A$2:$A$9999,$A26,Calls!$B$2:$B$9999,$B26,Calls!$O$2:$O$9999,"Quote requested")</f>
        <v>0</v>
      </c>
      <c r="V26" s="21"/>
    </row>
    <row r="27" customFormat="false" ht="15" hidden="false" customHeight="false" outlineLevel="0" collapsed="false">
      <c r="A27" s="18" t="s">
        <v>546</v>
      </c>
      <c r="B27" s="19" t="n">
        <v>1</v>
      </c>
      <c r="C27" s="18" t="s">
        <v>553</v>
      </c>
      <c r="D27" s="22" t="s">
        <v>551</v>
      </c>
      <c r="E27" s="18" t="s">
        <v>552</v>
      </c>
      <c r="F27" s="21" t="s">
        <v>556</v>
      </c>
      <c r="G27" s="18" t="s">
        <v>1589</v>
      </c>
      <c r="H27" s="18" t="s">
        <v>43</v>
      </c>
      <c r="I27" s="29"/>
      <c r="J27" s="29" t="n">
        <v>45862</v>
      </c>
      <c r="K27" s="24" t="n">
        <v>70000</v>
      </c>
      <c r="L27" s="21" t="s">
        <v>254</v>
      </c>
      <c r="M27" s="18" t="s">
        <v>1546</v>
      </c>
      <c r="N27" s="21" t="s">
        <v>1556</v>
      </c>
      <c r="O27" s="21" t="s">
        <v>557</v>
      </c>
      <c r="P27" s="29" t="n">
        <v>45862</v>
      </c>
      <c r="Q27" s="21" t="s">
        <v>547</v>
      </c>
      <c r="R27" s="21" t="s">
        <v>558</v>
      </c>
      <c r="S27" s="19" t="n">
        <f aca="false">COUNTIFS(Calls!$A$2:$A$9999,$A27,Calls!$B$2:$B$9999,$B27)</f>
        <v>2</v>
      </c>
      <c r="T27" s="19" t="n">
        <f aca="false">COUNTIFS(Calls!$A$2:$A$9999,$A27,Calls!$B$2:$B$9999,$B27,Calls!$N$2:$N$9999,"Reached*")</f>
        <v>0</v>
      </c>
      <c r="U27" s="31" t="n">
        <f aca="false">COUNTIFS(Calls!$A$2:$A$9999,$A27,Calls!$B$2:$B$9999,$B27,Calls!$O$2:$O$9999,"Interested")+COUNTIFS(Calls!$A$2:$A$9999,$A27,Calls!$B$2:$B$9999,$B27,Calls!$O$2:$O$9999,"Meeting booked")+COUNTIFS(Calls!$A$2:$A$9999,$A27,Calls!$B$2:$B$9999,$B27,Calls!$O$2:$O$9999,"Quote requested")</f>
        <v>0</v>
      </c>
      <c r="V27" s="21"/>
    </row>
    <row r="28" customFormat="false" ht="23.85" hidden="false" customHeight="false" outlineLevel="0" collapsed="false">
      <c r="A28" s="18" t="s">
        <v>564</v>
      </c>
      <c r="B28" s="19" t="n">
        <v>1</v>
      </c>
      <c r="C28" s="18" t="s">
        <v>570</v>
      </c>
      <c r="D28" s="22" t="s">
        <v>568</v>
      </c>
      <c r="E28" s="18" t="s">
        <v>569</v>
      </c>
      <c r="F28" s="21" t="s">
        <v>573</v>
      </c>
      <c r="G28" s="18" t="s">
        <v>1590</v>
      </c>
      <c r="H28" s="18" t="s">
        <v>43</v>
      </c>
      <c r="I28" s="29"/>
      <c r="J28" s="29" t="n">
        <v>45863</v>
      </c>
      <c r="K28" s="24" t="n">
        <v>70000</v>
      </c>
      <c r="L28" s="21" t="s">
        <v>149</v>
      </c>
      <c r="M28" s="18" t="s">
        <v>1546</v>
      </c>
      <c r="N28" s="21" t="s">
        <v>1549</v>
      </c>
      <c r="O28" s="21" t="s">
        <v>574</v>
      </c>
      <c r="P28" s="29" t="n">
        <v>45863</v>
      </c>
      <c r="Q28" s="21" t="s">
        <v>565</v>
      </c>
      <c r="R28" s="21" t="s">
        <v>168</v>
      </c>
      <c r="S28" s="19" t="n">
        <f aca="false">COUNTIFS(Calls!$A$2:$A$9999,$A28,Calls!$B$2:$B$9999,$B28)</f>
        <v>2</v>
      </c>
      <c r="T28" s="19" t="n">
        <f aca="false">COUNTIFS(Calls!$A$2:$A$9999,$A28,Calls!$B$2:$B$9999,$B28,Calls!$N$2:$N$9999,"Reached*")</f>
        <v>0</v>
      </c>
      <c r="U28" s="31" t="n">
        <f aca="false">COUNTIFS(Calls!$A$2:$A$9999,$A28,Calls!$B$2:$B$9999,$B28,Calls!$O$2:$O$9999,"Interested")+COUNTIFS(Calls!$A$2:$A$9999,$A28,Calls!$B$2:$B$9999,$B28,Calls!$O$2:$O$9999,"Meeting booked")+COUNTIFS(Calls!$A$2:$A$9999,$A28,Calls!$B$2:$B$9999,$B28,Calls!$O$2:$O$9999,"Quote requested")</f>
        <v>0</v>
      </c>
      <c r="V28" s="21"/>
    </row>
    <row r="29" customFormat="false" ht="23.85" hidden="false" customHeight="false" outlineLevel="0" collapsed="false">
      <c r="A29" s="18" t="s">
        <v>576</v>
      </c>
      <c r="B29" s="19" t="n">
        <v>1</v>
      </c>
      <c r="C29" s="18" t="s">
        <v>584</v>
      </c>
      <c r="D29" s="22" t="s">
        <v>582</v>
      </c>
      <c r="E29" s="18" t="s">
        <v>583</v>
      </c>
      <c r="F29" s="21" t="s">
        <v>587</v>
      </c>
      <c r="G29" s="18" t="s">
        <v>1591</v>
      </c>
      <c r="H29" s="18" t="s">
        <v>42</v>
      </c>
      <c r="I29" s="29" t="n">
        <v>45849</v>
      </c>
      <c r="J29" s="29"/>
      <c r="K29" s="24" t="n">
        <v>700000</v>
      </c>
      <c r="L29" s="21" t="s">
        <v>254</v>
      </c>
      <c r="M29" s="18"/>
      <c r="N29" s="21" t="s">
        <v>1556</v>
      </c>
      <c r="O29" s="21" t="s">
        <v>588</v>
      </c>
      <c r="P29" s="29" t="n">
        <v>45852</v>
      </c>
      <c r="Q29" s="21" t="s">
        <v>578</v>
      </c>
      <c r="R29" s="21" t="s">
        <v>578</v>
      </c>
      <c r="S29" s="19" t="n">
        <f aca="false">COUNTIFS(Calls!$A$2:$A$9999,$A29,Calls!$B$2:$B$9999,$B29)</f>
        <v>1</v>
      </c>
      <c r="T29" s="19" t="n">
        <f aca="false">COUNTIFS(Calls!$A$2:$A$9999,$A29,Calls!$B$2:$B$9999,$B29,Calls!$N$2:$N$9999,"Reached*")</f>
        <v>0</v>
      </c>
      <c r="U29" s="31" t="n">
        <f aca="false">COUNTIFS(Calls!$A$2:$A$9999,$A29,Calls!$B$2:$B$9999,$B29,Calls!$O$2:$O$9999,"Interested")+COUNTIFS(Calls!$A$2:$A$9999,$A29,Calls!$B$2:$B$9999,$B29,Calls!$O$2:$O$9999,"Meeting booked")+COUNTIFS(Calls!$A$2:$A$9999,$A29,Calls!$B$2:$B$9999,$B29,Calls!$O$2:$O$9999,"Quote requested")</f>
        <v>0</v>
      </c>
      <c r="V29" s="21"/>
    </row>
    <row r="30" customFormat="false" ht="46.25" hidden="false" customHeight="false" outlineLevel="0" collapsed="false">
      <c r="A30" s="18" t="s">
        <v>589</v>
      </c>
      <c r="B30" s="19" t="n">
        <v>1</v>
      </c>
      <c r="C30" s="18" t="s">
        <v>596</v>
      </c>
      <c r="D30" s="22" t="s">
        <v>594</v>
      </c>
      <c r="E30" s="18" t="s">
        <v>595</v>
      </c>
      <c r="F30" s="21" t="s">
        <v>597</v>
      </c>
      <c r="G30" s="18" t="s">
        <v>1592</v>
      </c>
      <c r="H30" s="18" t="s">
        <v>43</v>
      </c>
      <c r="I30" s="29" t="n">
        <v>44575</v>
      </c>
      <c r="J30" s="29" t="n">
        <v>45848</v>
      </c>
      <c r="K30" s="24" t="n">
        <v>120000</v>
      </c>
      <c r="L30" s="21" t="s">
        <v>254</v>
      </c>
      <c r="M30" s="18" t="s">
        <v>1564</v>
      </c>
      <c r="N30" s="21" t="s">
        <v>1593</v>
      </c>
      <c r="O30" s="21" t="s">
        <v>599</v>
      </c>
      <c r="P30" s="29" t="n">
        <v>45848</v>
      </c>
      <c r="Q30" s="21" t="s">
        <v>590</v>
      </c>
      <c r="R30" s="21" t="s">
        <v>600</v>
      </c>
      <c r="S30" s="19" t="n">
        <f aca="false">COUNTIFS(Calls!$A$2:$A$9999,$A30,Calls!$B$2:$B$9999,$B30)</f>
        <v>2</v>
      </c>
      <c r="T30" s="19" t="n">
        <f aca="false">COUNTIFS(Calls!$A$2:$A$9999,$A30,Calls!$B$2:$B$9999,$B30,Calls!$N$2:$N$9999,"Reached*")</f>
        <v>0</v>
      </c>
      <c r="U30" s="31" t="n">
        <f aca="false">COUNTIFS(Calls!$A$2:$A$9999,$A30,Calls!$B$2:$B$9999,$B30,Calls!$O$2:$O$9999,"Interested")+COUNTIFS(Calls!$A$2:$A$9999,$A30,Calls!$B$2:$B$9999,$B30,Calls!$O$2:$O$9999,"Meeting booked")+COUNTIFS(Calls!$A$2:$A$9999,$A30,Calls!$B$2:$B$9999,$B30,Calls!$O$2:$O$9999,"Quote requested")</f>
        <v>0</v>
      </c>
      <c r="V30" s="21"/>
    </row>
    <row r="31" customFormat="false" ht="23.85" hidden="false" customHeight="false" outlineLevel="0" collapsed="false">
      <c r="A31" s="18" t="s">
        <v>606</v>
      </c>
      <c r="B31" s="19" t="n">
        <v>1</v>
      </c>
      <c r="C31" s="18" t="s">
        <v>613</v>
      </c>
      <c r="D31" s="22" t="s">
        <v>611</v>
      </c>
      <c r="E31" s="18" t="s">
        <v>612</v>
      </c>
      <c r="F31" s="21" t="s">
        <v>616</v>
      </c>
      <c r="G31" s="18" t="s">
        <v>1594</v>
      </c>
      <c r="H31" s="18" t="s">
        <v>42</v>
      </c>
      <c r="I31" s="29" t="n">
        <v>45877</v>
      </c>
      <c r="J31" s="29"/>
      <c r="K31" s="24" t="n">
        <v>50000</v>
      </c>
      <c r="L31" s="21" t="s">
        <v>229</v>
      </c>
      <c r="M31" s="18" t="s">
        <v>1546</v>
      </c>
      <c r="N31" s="21" t="s">
        <v>1554</v>
      </c>
      <c r="O31" s="21"/>
      <c r="P31" s="29" t="n">
        <v>45877</v>
      </c>
      <c r="Q31" s="21" t="s">
        <v>607</v>
      </c>
      <c r="R31" s="21"/>
      <c r="S31" s="19" t="n">
        <f aca="false">COUNTIFS(Calls!$A$2:$A$9999,$A31,Calls!$B$2:$B$9999,$B31)</f>
        <v>1</v>
      </c>
      <c r="T31" s="19" t="n">
        <f aca="false">COUNTIFS(Calls!$A$2:$A$9999,$A31,Calls!$B$2:$B$9999,$B31,Calls!$N$2:$N$9999,"Reached*")</f>
        <v>0</v>
      </c>
      <c r="U31" s="31" t="n">
        <f aca="false">COUNTIFS(Calls!$A$2:$A$9999,$A31,Calls!$B$2:$B$9999,$B31,Calls!$O$2:$O$9999,"Interested")+COUNTIFS(Calls!$A$2:$A$9999,$A31,Calls!$B$2:$B$9999,$B31,Calls!$O$2:$O$9999,"Meeting booked")+COUNTIFS(Calls!$A$2:$A$9999,$A31,Calls!$B$2:$B$9999,$B31,Calls!$O$2:$O$9999,"Quote requested")</f>
        <v>0</v>
      </c>
      <c r="V31" s="21"/>
    </row>
    <row r="32" customFormat="false" ht="23.85" hidden="false" customHeight="false" outlineLevel="0" collapsed="false">
      <c r="A32" s="18" t="s">
        <v>606</v>
      </c>
      <c r="B32" s="19" t="n">
        <v>2</v>
      </c>
      <c r="C32" s="18" t="s">
        <v>618</v>
      </c>
      <c r="D32" s="22" t="s">
        <v>617</v>
      </c>
      <c r="E32" s="18" t="s">
        <v>612</v>
      </c>
      <c r="F32" s="21" t="s">
        <v>619</v>
      </c>
      <c r="G32" s="18" t="s">
        <v>1595</v>
      </c>
      <c r="H32" s="18" t="s">
        <v>42</v>
      </c>
      <c r="I32" s="29" t="n">
        <v>45877</v>
      </c>
      <c r="J32" s="29"/>
      <c r="K32" s="24" t="n">
        <v>50000</v>
      </c>
      <c r="L32" s="21" t="s">
        <v>229</v>
      </c>
      <c r="M32" s="18" t="s">
        <v>1546</v>
      </c>
      <c r="N32" s="21" t="s">
        <v>1554</v>
      </c>
      <c r="O32" s="21"/>
      <c r="P32" s="29" t="n">
        <v>45877</v>
      </c>
      <c r="Q32" s="21" t="s">
        <v>607</v>
      </c>
      <c r="R32" s="21"/>
      <c r="S32" s="19" t="n">
        <f aca="false">COUNTIFS(Calls!$A$2:$A$9999,$A32,Calls!$B$2:$B$9999,$B32)</f>
        <v>1</v>
      </c>
      <c r="T32" s="19" t="n">
        <f aca="false">COUNTIFS(Calls!$A$2:$A$9999,$A32,Calls!$B$2:$B$9999,$B32,Calls!$N$2:$N$9999,"Reached*")</f>
        <v>0</v>
      </c>
      <c r="U32" s="31" t="n">
        <f aca="false">COUNTIFS(Calls!$A$2:$A$9999,$A32,Calls!$B$2:$B$9999,$B32,Calls!$O$2:$O$9999,"Interested")+COUNTIFS(Calls!$A$2:$A$9999,$A32,Calls!$B$2:$B$9999,$B32,Calls!$O$2:$O$9999,"Meeting booked")+COUNTIFS(Calls!$A$2:$A$9999,$A32,Calls!$B$2:$B$9999,$B32,Calls!$O$2:$O$9999,"Quote requested")</f>
        <v>0</v>
      </c>
      <c r="V32" s="21"/>
    </row>
    <row r="33" customFormat="false" ht="23.85" hidden="false" customHeight="false" outlineLevel="0" collapsed="false">
      <c r="A33" s="18" t="s">
        <v>620</v>
      </c>
      <c r="B33" s="19" t="n">
        <v>1</v>
      </c>
      <c r="C33" s="18" t="s">
        <v>627</v>
      </c>
      <c r="D33" s="22" t="s">
        <v>625</v>
      </c>
      <c r="E33" s="18" t="s">
        <v>626</v>
      </c>
      <c r="F33" s="21" t="s">
        <v>629</v>
      </c>
      <c r="G33" s="18" t="s">
        <v>1596</v>
      </c>
      <c r="H33" s="18" t="s">
        <v>42</v>
      </c>
      <c r="I33" s="29" t="n">
        <v>45877</v>
      </c>
      <c r="J33" s="29"/>
      <c r="K33" s="24" t="n">
        <v>20000</v>
      </c>
      <c r="L33" s="21" t="s">
        <v>229</v>
      </c>
      <c r="M33" s="18"/>
      <c r="N33" s="21" t="s">
        <v>1547</v>
      </c>
      <c r="O33" s="21" t="s">
        <v>630</v>
      </c>
      <c r="P33" s="29" t="n">
        <v>45881</v>
      </c>
      <c r="Q33" s="21"/>
      <c r="R33" s="21" t="s">
        <v>621</v>
      </c>
      <c r="S33" s="19" t="n">
        <f aca="false">COUNTIFS(Calls!$A$2:$A$9999,$A33,Calls!$B$2:$B$9999,$B33)</f>
        <v>1</v>
      </c>
      <c r="T33" s="19" t="n">
        <f aca="false">COUNTIFS(Calls!$A$2:$A$9999,$A33,Calls!$B$2:$B$9999,$B33,Calls!$N$2:$N$9999,"Reached*")</f>
        <v>0</v>
      </c>
      <c r="U33" s="31" t="n">
        <f aca="false">COUNTIFS(Calls!$A$2:$A$9999,$A33,Calls!$B$2:$B$9999,$B33,Calls!$O$2:$O$9999,"Interested")+COUNTIFS(Calls!$A$2:$A$9999,$A33,Calls!$B$2:$B$9999,$B33,Calls!$O$2:$O$9999,"Meeting booked")+COUNTIFS(Calls!$A$2:$A$9999,$A33,Calls!$B$2:$B$9999,$B33,Calls!$O$2:$O$9999,"Quote requested")</f>
        <v>0</v>
      </c>
      <c r="V33" s="21"/>
    </row>
    <row r="34" customFormat="false" ht="23.85" hidden="false" customHeight="false" outlineLevel="0" collapsed="false">
      <c r="A34" s="18" t="s">
        <v>620</v>
      </c>
      <c r="B34" s="19" t="n">
        <v>2</v>
      </c>
      <c r="C34" s="18" t="s">
        <v>636</v>
      </c>
      <c r="D34" s="22" t="s">
        <v>634</v>
      </c>
      <c r="E34" s="18" t="s">
        <v>635</v>
      </c>
      <c r="F34" s="21" t="s">
        <v>639</v>
      </c>
      <c r="G34" s="18" t="s">
        <v>1597</v>
      </c>
      <c r="H34" s="18" t="s">
        <v>42</v>
      </c>
      <c r="I34" s="29" t="n">
        <v>45877</v>
      </c>
      <c r="J34" s="29"/>
      <c r="K34" s="24" t="n">
        <v>160000</v>
      </c>
      <c r="L34" s="21" t="s">
        <v>229</v>
      </c>
      <c r="M34" s="18" t="s">
        <v>1546</v>
      </c>
      <c r="N34" s="21" t="s">
        <v>1598</v>
      </c>
      <c r="O34" s="21"/>
      <c r="P34" s="29" t="n">
        <v>45881</v>
      </c>
      <c r="Q34" s="21" t="s">
        <v>631</v>
      </c>
      <c r="R34" s="21" t="s">
        <v>640</v>
      </c>
      <c r="S34" s="19" t="n">
        <f aca="false">COUNTIFS(Calls!$A$2:$A$9999,$A34,Calls!$B$2:$B$9999,$B34)</f>
        <v>2</v>
      </c>
      <c r="T34" s="19" t="n">
        <f aca="false">COUNTIFS(Calls!$A$2:$A$9999,$A34,Calls!$B$2:$B$9999,$B34,Calls!$N$2:$N$9999,"Reached*")</f>
        <v>0</v>
      </c>
      <c r="U34" s="31" t="n">
        <f aca="false">COUNTIFS(Calls!$A$2:$A$9999,$A34,Calls!$B$2:$B$9999,$B34,Calls!$O$2:$O$9999,"Interested")+COUNTIFS(Calls!$A$2:$A$9999,$A34,Calls!$B$2:$B$9999,$B34,Calls!$O$2:$O$9999,"Meeting booked")+COUNTIFS(Calls!$A$2:$A$9999,$A34,Calls!$B$2:$B$9999,$B34,Calls!$O$2:$O$9999,"Quote requested")</f>
        <v>0</v>
      </c>
      <c r="V34" s="21"/>
    </row>
    <row r="35" customFormat="false" ht="57.45" hidden="false" customHeight="false" outlineLevel="0" collapsed="false">
      <c r="A35" s="18" t="s">
        <v>620</v>
      </c>
      <c r="B35" s="19" t="n">
        <v>3</v>
      </c>
      <c r="C35" s="18" t="s">
        <v>650</v>
      </c>
      <c r="D35" s="22" t="s">
        <v>648</v>
      </c>
      <c r="E35" s="18" t="s">
        <v>649</v>
      </c>
      <c r="F35" s="21" t="s">
        <v>651</v>
      </c>
      <c r="G35" s="18" t="s">
        <v>1599</v>
      </c>
      <c r="H35" s="18" t="s">
        <v>42</v>
      </c>
      <c r="I35" s="29" t="n">
        <v>45877</v>
      </c>
      <c r="J35" s="29"/>
      <c r="K35" s="24" t="n">
        <v>15000000</v>
      </c>
      <c r="L35" s="21" t="s">
        <v>229</v>
      </c>
      <c r="M35" s="18" t="s">
        <v>1564</v>
      </c>
      <c r="N35" s="21" t="s">
        <v>1600</v>
      </c>
      <c r="O35" s="21" t="s">
        <v>653</v>
      </c>
      <c r="P35" s="29" t="n">
        <v>45881</v>
      </c>
      <c r="Q35" s="21" t="s">
        <v>645</v>
      </c>
      <c r="R35" s="21" t="s">
        <v>654</v>
      </c>
      <c r="S35" s="19" t="n">
        <f aca="false">COUNTIFS(Calls!$A$2:$A$9999,$A35,Calls!$B$2:$B$9999,$B35)</f>
        <v>2</v>
      </c>
      <c r="T35" s="19" t="n">
        <f aca="false">COUNTIFS(Calls!$A$2:$A$9999,$A35,Calls!$B$2:$B$9999,$B35,Calls!$N$2:$N$9999,"Reached*")</f>
        <v>0</v>
      </c>
      <c r="U35" s="31" t="n">
        <f aca="false">COUNTIFS(Calls!$A$2:$A$9999,$A35,Calls!$B$2:$B$9999,$B35,Calls!$O$2:$O$9999,"Interested")+COUNTIFS(Calls!$A$2:$A$9999,$A35,Calls!$B$2:$B$9999,$B35,Calls!$O$2:$O$9999,"Meeting booked")+COUNTIFS(Calls!$A$2:$A$9999,$A35,Calls!$B$2:$B$9999,$B35,Calls!$O$2:$O$9999,"Quote requested")</f>
        <v>0</v>
      </c>
      <c r="V35" s="21"/>
    </row>
    <row r="36" customFormat="false" ht="15" hidden="false" customHeight="false" outlineLevel="0" collapsed="false">
      <c r="A36" s="18" t="s">
        <v>620</v>
      </c>
      <c r="B36" s="19" t="n">
        <v>4</v>
      </c>
      <c r="C36" s="18" t="s">
        <v>663</v>
      </c>
      <c r="D36" s="22" t="s">
        <v>661</v>
      </c>
      <c r="E36" s="18" t="s">
        <v>662</v>
      </c>
      <c r="F36" s="21" t="s">
        <v>665</v>
      </c>
      <c r="G36" s="18" t="s">
        <v>1601</v>
      </c>
      <c r="H36" s="18" t="s">
        <v>43</v>
      </c>
      <c r="I36" s="29" t="n">
        <v>45779</v>
      </c>
      <c r="J36" s="29" t="n">
        <v>45881</v>
      </c>
      <c r="K36" s="24" t="n">
        <v>200000</v>
      </c>
      <c r="L36" s="21" t="s">
        <v>149</v>
      </c>
      <c r="M36" s="18" t="s">
        <v>1564</v>
      </c>
      <c r="N36" s="21" t="s">
        <v>1602</v>
      </c>
      <c r="O36" s="21" t="s">
        <v>666</v>
      </c>
      <c r="P36" s="29" t="n">
        <v>45881</v>
      </c>
      <c r="Q36" s="21" t="s">
        <v>659</v>
      </c>
      <c r="R36" s="21" t="s">
        <v>667</v>
      </c>
      <c r="S36" s="19" t="n">
        <f aca="false">COUNTIFS(Calls!$A$2:$A$9999,$A36,Calls!$B$2:$B$9999,$B36)</f>
        <v>2</v>
      </c>
      <c r="T36" s="19" t="n">
        <f aca="false">COUNTIFS(Calls!$A$2:$A$9999,$A36,Calls!$B$2:$B$9999,$B36,Calls!$N$2:$N$9999,"Reached*")</f>
        <v>0</v>
      </c>
      <c r="U36" s="31" t="n">
        <f aca="false">COUNTIFS(Calls!$A$2:$A$9999,$A36,Calls!$B$2:$B$9999,$B36,Calls!$O$2:$O$9999,"Interested")+COUNTIFS(Calls!$A$2:$A$9999,$A36,Calls!$B$2:$B$9999,$B36,Calls!$O$2:$O$9999,"Meeting booked")+COUNTIFS(Calls!$A$2:$A$9999,$A36,Calls!$B$2:$B$9999,$B36,Calls!$O$2:$O$9999,"Quote requested")</f>
        <v>0</v>
      </c>
      <c r="V36" s="21"/>
    </row>
    <row r="37" customFormat="false" ht="15" hidden="false" customHeight="false" outlineLevel="0" collapsed="false">
      <c r="A37" s="18" t="s">
        <v>669</v>
      </c>
      <c r="B37" s="19" t="n">
        <v>1</v>
      </c>
      <c r="C37" s="18" t="s">
        <v>675</v>
      </c>
      <c r="D37" s="22" t="s">
        <v>674</v>
      </c>
      <c r="E37" s="18" t="s">
        <v>569</v>
      </c>
      <c r="F37" s="21" t="s">
        <v>678</v>
      </c>
      <c r="G37" s="18" t="s">
        <v>1603</v>
      </c>
      <c r="H37" s="18" t="s">
        <v>43</v>
      </c>
      <c r="I37" s="29"/>
      <c r="J37" s="29" t="n">
        <v>46058</v>
      </c>
      <c r="K37" s="24" t="n">
        <v>50000</v>
      </c>
      <c r="L37" s="21" t="s">
        <v>149</v>
      </c>
      <c r="M37" s="18" t="s">
        <v>1546</v>
      </c>
      <c r="N37" s="21" t="s">
        <v>1549</v>
      </c>
      <c r="O37" s="21" t="s">
        <v>679</v>
      </c>
      <c r="P37" s="29" t="n">
        <v>46058</v>
      </c>
      <c r="Q37" s="21" t="s">
        <v>670</v>
      </c>
      <c r="R37" s="21"/>
      <c r="S37" s="19" t="n">
        <f aca="false">COUNTIFS(Calls!$A$2:$A$9999,$A37,Calls!$B$2:$B$9999,$B37)</f>
        <v>1</v>
      </c>
      <c r="T37" s="19" t="n">
        <f aca="false">COUNTIFS(Calls!$A$2:$A$9999,$A37,Calls!$B$2:$B$9999,$B37,Calls!$N$2:$N$9999,"Reached*")</f>
        <v>0</v>
      </c>
      <c r="U37" s="31" t="n">
        <f aca="false">COUNTIFS(Calls!$A$2:$A$9999,$A37,Calls!$B$2:$B$9999,$B37,Calls!$O$2:$O$9999,"Interested")+COUNTIFS(Calls!$A$2:$A$9999,$A37,Calls!$B$2:$B$9999,$B37,Calls!$O$2:$O$9999,"Meeting booked")+COUNTIFS(Calls!$A$2:$A$9999,$A37,Calls!$B$2:$B$9999,$B37,Calls!$O$2:$O$9999,"Quote requested")</f>
        <v>0</v>
      </c>
      <c r="V37" s="21"/>
    </row>
    <row r="38" customFormat="false" ht="23.85" hidden="false" customHeight="false" outlineLevel="0" collapsed="false">
      <c r="A38" s="18" t="s">
        <v>680</v>
      </c>
      <c r="B38" s="19" t="n">
        <v>1</v>
      </c>
      <c r="C38" s="18" t="s">
        <v>686</v>
      </c>
      <c r="D38" s="22" t="s">
        <v>684</v>
      </c>
      <c r="E38" s="18" t="s">
        <v>685</v>
      </c>
      <c r="F38" s="21" t="s">
        <v>689</v>
      </c>
      <c r="G38" s="18" t="s">
        <v>1604</v>
      </c>
      <c r="H38" s="18" t="s">
        <v>42</v>
      </c>
      <c r="I38" s="29" t="n">
        <v>45940</v>
      </c>
      <c r="J38" s="29"/>
      <c r="K38" s="24" t="n">
        <v>10000</v>
      </c>
      <c r="L38" s="21" t="s">
        <v>149</v>
      </c>
      <c r="M38" s="18"/>
      <c r="N38" s="21" t="s">
        <v>1547</v>
      </c>
      <c r="O38" s="21" t="s">
        <v>690</v>
      </c>
      <c r="P38" s="29" t="n">
        <v>45944</v>
      </c>
      <c r="Q38" s="21" t="s">
        <v>681</v>
      </c>
      <c r="R38" s="21" t="s">
        <v>692</v>
      </c>
      <c r="S38" s="19" t="n">
        <f aca="false">COUNTIFS(Calls!$A$2:$A$9999,$A38,Calls!$B$2:$B$9999,$B38)</f>
        <v>2</v>
      </c>
      <c r="T38" s="19" t="n">
        <f aca="false">COUNTIFS(Calls!$A$2:$A$9999,$A38,Calls!$B$2:$B$9999,$B38,Calls!$N$2:$N$9999,"Reached*")</f>
        <v>0</v>
      </c>
      <c r="U38" s="31" t="n">
        <f aca="false">COUNTIFS(Calls!$A$2:$A$9999,$A38,Calls!$B$2:$B$9999,$B38,Calls!$O$2:$O$9999,"Interested")+COUNTIFS(Calls!$A$2:$A$9999,$A38,Calls!$B$2:$B$9999,$B38,Calls!$O$2:$O$9999,"Meeting booked")+COUNTIFS(Calls!$A$2:$A$9999,$A38,Calls!$B$2:$B$9999,$B38,Calls!$O$2:$O$9999,"Quote requested")</f>
        <v>0</v>
      </c>
      <c r="V38" s="21" t="s">
        <v>691</v>
      </c>
    </row>
    <row r="39" customFormat="false" ht="23.85" hidden="false" customHeight="false" outlineLevel="0" collapsed="false">
      <c r="A39" s="18" t="s">
        <v>696</v>
      </c>
      <c r="B39" s="19" t="n">
        <v>1</v>
      </c>
      <c r="C39" s="18" t="s">
        <v>686</v>
      </c>
      <c r="D39" s="22" t="s">
        <v>684</v>
      </c>
      <c r="E39" s="18" t="s">
        <v>685</v>
      </c>
      <c r="F39" s="21" t="s">
        <v>689</v>
      </c>
      <c r="G39" s="18" t="s">
        <v>1604</v>
      </c>
      <c r="H39" s="18" t="s">
        <v>42</v>
      </c>
      <c r="I39" s="29" t="n">
        <v>45940</v>
      </c>
      <c r="J39" s="29"/>
      <c r="K39" s="24" t="n">
        <v>10000</v>
      </c>
      <c r="L39" s="21" t="s">
        <v>149</v>
      </c>
      <c r="M39" s="18"/>
      <c r="N39" s="21" t="s">
        <v>1547</v>
      </c>
      <c r="O39" s="21" t="s">
        <v>690</v>
      </c>
      <c r="P39" s="29" t="n">
        <v>45945</v>
      </c>
      <c r="Q39" s="21" t="s">
        <v>681</v>
      </c>
      <c r="R39" s="21" t="s">
        <v>692</v>
      </c>
      <c r="S39" s="19" t="n">
        <f aca="false">COUNTIFS(Calls!$A$2:$A$9999,$A39,Calls!$B$2:$B$9999,$B39)</f>
        <v>2</v>
      </c>
      <c r="T39" s="19" t="n">
        <f aca="false">COUNTIFS(Calls!$A$2:$A$9999,$A39,Calls!$B$2:$B$9999,$B39,Calls!$N$2:$N$9999,"Reached*")</f>
        <v>0</v>
      </c>
      <c r="U39" s="31" t="n">
        <f aca="false">COUNTIFS(Calls!$A$2:$A$9999,$A39,Calls!$B$2:$B$9999,$B39,Calls!$O$2:$O$9999,"Interested")+COUNTIFS(Calls!$A$2:$A$9999,$A39,Calls!$B$2:$B$9999,$B39,Calls!$O$2:$O$9999,"Meeting booked")+COUNTIFS(Calls!$A$2:$A$9999,$A39,Calls!$B$2:$B$9999,$B39,Calls!$O$2:$O$9999,"Quote requested")</f>
        <v>0</v>
      </c>
      <c r="V39" s="21" t="s">
        <v>697</v>
      </c>
    </row>
    <row r="40" customFormat="false" ht="57.45" hidden="false" customHeight="false" outlineLevel="0" collapsed="false">
      <c r="A40" s="18" t="s">
        <v>698</v>
      </c>
      <c r="B40" s="19" t="n">
        <v>1</v>
      </c>
      <c r="C40" s="18" t="s">
        <v>704</v>
      </c>
      <c r="D40" s="22" t="s">
        <v>702</v>
      </c>
      <c r="E40" s="18" t="s">
        <v>703</v>
      </c>
      <c r="F40" s="21" t="s">
        <v>706</v>
      </c>
      <c r="G40" s="18" t="s">
        <v>1605</v>
      </c>
      <c r="H40" s="18" t="s">
        <v>42</v>
      </c>
      <c r="I40" s="29" t="n">
        <v>45961</v>
      </c>
      <c r="J40" s="29"/>
      <c r="K40" s="24" t="n">
        <v>900000</v>
      </c>
      <c r="L40" s="21" t="s">
        <v>707</v>
      </c>
      <c r="M40" s="18"/>
      <c r="N40" s="21" t="s">
        <v>1606</v>
      </c>
      <c r="O40" s="21"/>
      <c r="P40" s="29" t="n">
        <v>45965</v>
      </c>
      <c r="Q40" s="21"/>
      <c r="R40" s="21" t="s">
        <v>699</v>
      </c>
      <c r="S40" s="19" t="n">
        <f aca="false">COUNTIFS(Calls!$A$2:$A$9999,$A40,Calls!$B$2:$B$9999,$B40)</f>
        <v>1</v>
      </c>
      <c r="T40" s="19" t="n">
        <f aca="false">COUNTIFS(Calls!$A$2:$A$9999,$A40,Calls!$B$2:$B$9999,$B40,Calls!$N$2:$N$9999,"Reached*")</f>
        <v>0</v>
      </c>
      <c r="U40" s="31" t="n">
        <f aca="false">COUNTIFS(Calls!$A$2:$A$9999,$A40,Calls!$B$2:$B$9999,$B40,Calls!$O$2:$O$9999,"Interested")+COUNTIFS(Calls!$A$2:$A$9999,$A40,Calls!$B$2:$B$9999,$B40,Calls!$O$2:$O$9999,"Meeting booked")+COUNTIFS(Calls!$A$2:$A$9999,$A40,Calls!$B$2:$B$9999,$B40,Calls!$O$2:$O$9999,"Quote requested")</f>
        <v>0</v>
      </c>
      <c r="V40" s="21"/>
    </row>
    <row r="41" customFormat="false" ht="35.05" hidden="false" customHeight="false" outlineLevel="0" collapsed="false">
      <c r="A41" s="18" t="s">
        <v>708</v>
      </c>
      <c r="B41" s="19" t="n">
        <v>1</v>
      </c>
      <c r="C41" s="18" t="s">
        <v>713</v>
      </c>
      <c r="D41" s="22" t="s">
        <v>711</v>
      </c>
      <c r="E41" s="18" t="s">
        <v>712</v>
      </c>
      <c r="F41" s="21" t="s">
        <v>716</v>
      </c>
      <c r="G41" s="18" t="s">
        <v>1607</v>
      </c>
      <c r="H41" s="18" t="s">
        <v>42</v>
      </c>
      <c r="I41" s="29" t="n">
        <v>45975</v>
      </c>
      <c r="J41" s="29"/>
      <c r="K41" s="24" t="n">
        <v>200000</v>
      </c>
      <c r="L41" s="21" t="s">
        <v>149</v>
      </c>
      <c r="M41" s="18"/>
      <c r="N41" s="21" t="s">
        <v>1547</v>
      </c>
      <c r="O41" s="21" t="s">
        <v>717</v>
      </c>
      <c r="P41" s="29" t="n">
        <v>45982</v>
      </c>
      <c r="Q41" s="21" t="s">
        <v>709</v>
      </c>
      <c r="R41" s="21" t="s">
        <v>718</v>
      </c>
      <c r="S41" s="19" t="n">
        <f aca="false">COUNTIFS(Calls!$A$2:$A$9999,$A41,Calls!$B$2:$B$9999,$B41)</f>
        <v>2</v>
      </c>
      <c r="T41" s="19" t="n">
        <f aca="false">COUNTIFS(Calls!$A$2:$A$9999,$A41,Calls!$B$2:$B$9999,$B41,Calls!$N$2:$N$9999,"Reached*")</f>
        <v>0</v>
      </c>
      <c r="U41" s="31" t="n">
        <f aca="false">COUNTIFS(Calls!$A$2:$A$9999,$A41,Calls!$B$2:$B$9999,$B41,Calls!$O$2:$O$9999,"Interested")+COUNTIFS(Calls!$A$2:$A$9999,$A41,Calls!$B$2:$B$9999,$B41,Calls!$O$2:$O$9999,"Meeting booked")+COUNTIFS(Calls!$A$2:$A$9999,$A41,Calls!$B$2:$B$9999,$B41,Calls!$O$2:$O$9999,"Quote requested")</f>
        <v>0</v>
      </c>
      <c r="V41" s="21"/>
    </row>
    <row r="42" customFormat="false" ht="35.05" hidden="false" customHeight="false" outlineLevel="0" collapsed="false">
      <c r="A42" s="18" t="s">
        <v>723</v>
      </c>
      <c r="B42" s="19" t="n">
        <v>1</v>
      </c>
      <c r="C42" s="18" t="s">
        <v>727</v>
      </c>
      <c r="D42" s="22" t="s">
        <v>725</v>
      </c>
      <c r="E42" s="18" t="s">
        <v>726</v>
      </c>
      <c r="F42" s="21" t="s">
        <v>729</v>
      </c>
      <c r="G42" s="18" t="s">
        <v>1608</v>
      </c>
      <c r="H42" s="18" t="s">
        <v>42</v>
      </c>
      <c r="I42" s="29" t="n">
        <v>45975</v>
      </c>
      <c r="J42" s="29"/>
      <c r="K42" s="24" t="n">
        <v>800000</v>
      </c>
      <c r="L42" s="21" t="s">
        <v>229</v>
      </c>
      <c r="M42" s="18"/>
      <c r="N42" s="21" t="s">
        <v>1609</v>
      </c>
      <c r="O42" s="21" t="s">
        <v>730</v>
      </c>
      <c r="P42" s="29" t="n">
        <v>45981</v>
      </c>
      <c r="Q42" s="21" t="s">
        <v>724</v>
      </c>
      <c r="R42" s="21" t="s">
        <v>731</v>
      </c>
      <c r="S42" s="19" t="n">
        <f aca="false">COUNTIFS(Calls!$A$2:$A$9999,$A42,Calls!$B$2:$B$9999,$B42)</f>
        <v>2</v>
      </c>
      <c r="T42" s="19" t="n">
        <f aca="false">COUNTIFS(Calls!$A$2:$A$9999,$A42,Calls!$B$2:$B$9999,$B42,Calls!$N$2:$N$9999,"Reached*")</f>
        <v>0</v>
      </c>
      <c r="U42" s="31" t="n">
        <f aca="false">COUNTIFS(Calls!$A$2:$A$9999,$A42,Calls!$B$2:$B$9999,$B42,Calls!$O$2:$O$9999,"Interested")+COUNTIFS(Calls!$A$2:$A$9999,$A42,Calls!$B$2:$B$9999,$B42,Calls!$O$2:$O$9999,"Meeting booked")+COUNTIFS(Calls!$A$2:$A$9999,$A42,Calls!$B$2:$B$9999,$B42,Calls!$O$2:$O$9999,"Quote requested")</f>
        <v>0</v>
      </c>
      <c r="V42" s="21"/>
    </row>
    <row r="43" customFormat="false" ht="23.85" hidden="false" customHeight="false" outlineLevel="0" collapsed="false">
      <c r="A43" s="18" t="s">
        <v>736</v>
      </c>
      <c r="B43" s="19" t="n">
        <v>1</v>
      </c>
      <c r="C43" s="18" t="s">
        <v>743</v>
      </c>
      <c r="D43" s="22" t="s">
        <v>741</v>
      </c>
      <c r="E43" s="18" t="s">
        <v>742</v>
      </c>
      <c r="F43" s="21" t="s">
        <v>746</v>
      </c>
      <c r="G43" s="18" t="s">
        <v>1610</v>
      </c>
      <c r="H43" s="18" t="s">
        <v>42</v>
      </c>
      <c r="I43" s="29" t="n">
        <v>45975</v>
      </c>
      <c r="J43" s="29"/>
      <c r="K43" s="24" t="n">
        <v>350000</v>
      </c>
      <c r="L43" s="21" t="s">
        <v>149</v>
      </c>
      <c r="M43" s="18"/>
      <c r="N43" s="21" t="s">
        <v>1611</v>
      </c>
      <c r="O43" s="21" t="s">
        <v>747</v>
      </c>
      <c r="P43" s="29" t="n">
        <v>45978</v>
      </c>
      <c r="Q43" s="21" t="s">
        <v>737</v>
      </c>
      <c r="R43" s="21"/>
      <c r="S43" s="19" t="n">
        <f aca="false">COUNTIFS(Calls!$A$2:$A$9999,$A43,Calls!$B$2:$B$9999,$B43)</f>
        <v>1</v>
      </c>
      <c r="T43" s="19" t="n">
        <f aca="false">COUNTIFS(Calls!$A$2:$A$9999,$A43,Calls!$B$2:$B$9999,$B43,Calls!$N$2:$N$9999,"Reached*")</f>
        <v>0</v>
      </c>
      <c r="U43" s="31" t="n">
        <f aca="false">COUNTIFS(Calls!$A$2:$A$9999,$A43,Calls!$B$2:$B$9999,$B43,Calls!$O$2:$O$9999,"Interested")+COUNTIFS(Calls!$A$2:$A$9999,$A43,Calls!$B$2:$B$9999,$B43,Calls!$O$2:$O$9999,"Meeting booked")+COUNTIFS(Calls!$A$2:$A$9999,$A43,Calls!$B$2:$B$9999,$B43,Calls!$O$2:$O$9999,"Quote requested")</f>
        <v>0</v>
      </c>
      <c r="V43" s="21"/>
    </row>
    <row r="44" customFormat="false" ht="15" hidden="false" customHeight="false" outlineLevel="0" collapsed="false">
      <c r="A44" s="18" t="s">
        <v>748</v>
      </c>
      <c r="B44" s="19" t="n">
        <v>1</v>
      </c>
      <c r="C44" s="18" t="s">
        <v>753</v>
      </c>
      <c r="D44" s="22" t="s">
        <v>751</v>
      </c>
      <c r="E44" s="18" t="s">
        <v>752</v>
      </c>
      <c r="F44" s="21" t="s">
        <v>754</v>
      </c>
      <c r="G44" s="18" t="s">
        <v>1612</v>
      </c>
      <c r="H44" s="18" t="s">
        <v>42</v>
      </c>
      <c r="I44" s="29" t="n">
        <v>46010</v>
      </c>
      <c r="J44" s="29"/>
      <c r="K44" s="24" t="n">
        <v>40000</v>
      </c>
      <c r="L44" s="21" t="s">
        <v>149</v>
      </c>
      <c r="M44" s="18"/>
      <c r="N44" s="21" t="s">
        <v>1547</v>
      </c>
      <c r="O44" s="21" t="s">
        <v>755</v>
      </c>
      <c r="P44" s="29" t="n">
        <v>46010</v>
      </c>
      <c r="Q44" s="21" t="s">
        <v>749</v>
      </c>
      <c r="R44" s="21" t="s">
        <v>756</v>
      </c>
      <c r="S44" s="19" t="n">
        <f aca="false">COUNTIFS(Calls!$A$2:$A$9999,$A44,Calls!$B$2:$B$9999,$B44)</f>
        <v>2</v>
      </c>
      <c r="T44" s="19" t="n">
        <f aca="false">COUNTIFS(Calls!$A$2:$A$9999,$A44,Calls!$B$2:$B$9999,$B44,Calls!$N$2:$N$9999,"Reached*")</f>
        <v>0</v>
      </c>
      <c r="U44" s="31" t="n">
        <f aca="false">COUNTIFS(Calls!$A$2:$A$9999,$A44,Calls!$B$2:$B$9999,$B44,Calls!$O$2:$O$9999,"Interested")+COUNTIFS(Calls!$A$2:$A$9999,$A44,Calls!$B$2:$B$9999,$B44,Calls!$O$2:$O$9999,"Meeting booked")+COUNTIFS(Calls!$A$2:$A$9999,$A44,Calls!$B$2:$B$9999,$B44,Calls!$O$2:$O$9999,"Quote requested")</f>
        <v>0</v>
      </c>
      <c r="V44" s="21"/>
    </row>
    <row r="45" customFormat="false" ht="23.85" hidden="false" customHeight="false" outlineLevel="0" collapsed="false">
      <c r="A45" s="18" t="s">
        <v>759</v>
      </c>
      <c r="B45" s="19" t="n">
        <v>1</v>
      </c>
      <c r="C45" s="18" t="s">
        <v>764</v>
      </c>
      <c r="D45" s="22" t="s">
        <v>763</v>
      </c>
      <c r="E45" s="18" t="s">
        <v>742</v>
      </c>
      <c r="F45" s="21" t="s">
        <v>767</v>
      </c>
      <c r="G45" s="18" t="s">
        <v>1613</v>
      </c>
      <c r="H45" s="18" t="s">
        <v>42</v>
      </c>
      <c r="I45" s="29" t="n">
        <v>46003</v>
      </c>
      <c r="J45" s="29"/>
      <c r="K45" s="24" t="n">
        <v>150000</v>
      </c>
      <c r="L45" s="21" t="s">
        <v>254</v>
      </c>
      <c r="M45" s="18"/>
      <c r="N45" s="21" t="s">
        <v>1614</v>
      </c>
      <c r="O45" s="21" t="s">
        <v>768</v>
      </c>
      <c r="P45" s="29" t="n">
        <v>46006</v>
      </c>
      <c r="Q45" s="21" t="s">
        <v>760</v>
      </c>
      <c r="R45" s="21" t="s">
        <v>769</v>
      </c>
      <c r="S45" s="19" t="n">
        <f aca="false">COUNTIFS(Calls!$A$2:$A$9999,$A45,Calls!$B$2:$B$9999,$B45)</f>
        <v>2</v>
      </c>
      <c r="T45" s="19" t="n">
        <f aca="false">COUNTIFS(Calls!$A$2:$A$9999,$A45,Calls!$B$2:$B$9999,$B45,Calls!$N$2:$N$9999,"Reached*")</f>
        <v>0</v>
      </c>
      <c r="U45" s="31" t="n">
        <f aca="false">COUNTIFS(Calls!$A$2:$A$9999,$A45,Calls!$B$2:$B$9999,$B45,Calls!$O$2:$O$9999,"Interested")+COUNTIFS(Calls!$A$2:$A$9999,$A45,Calls!$B$2:$B$9999,$B45,Calls!$O$2:$O$9999,"Meeting booked")+COUNTIFS(Calls!$A$2:$A$9999,$A45,Calls!$B$2:$B$9999,$B45,Calls!$O$2:$O$9999,"Quote requested")</f>
        <v>0</v>
      </c>
      <c r="V45" s="21"/>
    </row>
    <row r="46" customFormat="false" ht="46.25" hidden="false" customHeight="false" outlineLevel="0" collapsed="false">
      <c r="A46" s="18" t="s">
        <v>774</v>
      </c>
      <c r="B46" s="19" t="n">
        <v>1</v>
      </c>
      <c r="C46" s="18" t="s">
        <v>778</v>
      </c>
      <c r="D46" s="22" t="s">
        <v>777</v>
      </c>
      <c r="E46" s="18" t="s">
        <v>703</v>
      </c>
      <c r="F46" s="21" t="s">
        <v>780</v>
      </c>
      <c r="G46" s="18" t="s">
        <v>1615</v>
      </c>
      <c r="H46" s="18" t="s">
        <v>42</v>
      </c>
      <c r="I46" s="29" t="n">
        <v>46010</v>
      </c>
      <c r="J46" s="29"/>
      <c r="K46" s="24" t="n">
        <v>800000</v>
      </c>
      <c r="L46" s="21" t="s">
        <v>229</v>
      </c>
      <c r="M46" s="18"/>
      <c r="N46" s="21" t="s">
        <v>1616</v>
      </c>
      <c r="O46" s="21" t="s">
        <v>781</v>
      </c>
      <c r="P46" s="29" t="n">
        <v>46014</v>
      </c>
      <c r="Q46" s="21" t="s">
        <v>775</v>
      </c>
      <c r="R46" s="21" t="s">
        <v>782</v>
      </c>
      <c r="S46" s="19" t="n">
        <f aca="false">COUNTIFS(Calls!$A$2:$A$9999,$A46,Calls!$B$2:$B$9999,$B46)</f>
        <v>2</v>
      </c>
      <c r="T46" s="19" t="n">
        <f aca="false">COUNTIFS(Calls!$A$2:$A$9999,$A46,Calls!$B$2:$B$9999,$B46,Calls!$N$2:$N$9999,"Reached*")</f>
        <v>0</v>
      </c>
      <c r="U46" s="31" t="n">
        <f aca="false">COUNTIFS(Calls!$A$2:$A$9999,$A46,Calls!$B$2:$B$9999,$B46,Calls!$O$2:$O$9999,"Interested")+COUNTIFS(Calls!$A$2:$A$9999,$A46,Calls!$B$2:$B$9999,$B46,Calls!$O$2:$O$9999,"Meeting booked")+COUNTIFS(Calls!$A$2:$A$9999,$A46,Calls!$B$2:$B$9999,$B46,Calls!$O$2:$O$9999,"Quote requested")</f>
        <v>0</v>
      </c>
      <c r="V46" s="21"/>
    </row>
    <row r="47" customFormat="false" ht="23.85" hidden="false" customHeight="false" outlineLevel="0" collapsed="false">
      <c r="A47" s="18" t="s">
        <v>787</v>
      </c>
      <c r="B47" s="19" t="n">
        <v>1</v>
      </c>
      <c r="C47" s="18" t="s">
        <v>793</v>
      </c>
      <c r="D47" s="22" t="s">
        <v>792</v>
      </c>
      <c r="E47" s="18" t="s">
        <v>742</v>
      </c>
      <c r="F47" s="21" t="s">
        <v>796</v>
      </c>
      <c r="G47" s="18" t="s">
        <v>1617</v>
      </c>
      <c r="H47" s="18" t="s">
        <v>42</v>
      </c>
      <c r="I47" s="29" t="n">
        <v>45821</v>
      </c>
      <c r="J47" s="29"/>
      <c r="K47" s="24" t="n">
        <v>50000</v>
      </c>
      <c r="L47" s="21" t="s">
        <v>797</v>
      </c>
      <c r="M47" s="18"/>
      <c r="N47" s="21" t="s">
        <v>1618</v>
      </c>
      <c r="O47" s="21" t="s">
        <v>798</v>
      </c>
      <c r="P47" s="29" t="n">
        <v>45821</v>
      </c>
      <c r="Q47" s="21" t="s">
        <v>788</v>
      </c>
      <c r="R47" s="21" t="s">
        <v>799</v>
      </c>
      <c r="S47" s="19" t="n">
        <f aca="false">COUNTIFS(Calls!$A$2:$A$9999,$A47,Calls!$B$2:$B$9999,$B47)</f>
        <v>2</v>
      </c>
      <c r="T47" s="19" t="n">
        <f aca="false">COUNTIFS(Calls!$A$2:$A$9999,$A47,Calls!$B$2:$B$9999,$B47,Calls!$N$2:$N$9999,"Reached*")</f>
        <v>0</v>
      </c>
      <c r="U47" s="31" t="n">
        <f aca="false">COUNTIFS(Calls!$A$2:$A$9999,$A47,Calls!$B$2:$B$9999,$B47,Calls!$O$2:$O$9999,"Interested")+COUNTIFS(Calls!$A$2:$A$9999,$A47,Calls!$B$2:$B$9999,$B47,Calls!$O$2:$O$9999,"Meeting booked")+COUNTIFS(Calls!$A$2:$A$9999,$A47,Calls!$B$2:$B$9999,$B47,Calls!$O$2:$O$9999,"Quote requested")</f>
        <v>0</v>
      </c>
      <c r="V47" s="21"/>
    </row>
    <row r="48" customFormat="false" ht="15" hidden="false" customHeight="false" outlineLevel="0" collapsed="false">
      <c r="A48" s="18" t="s">
        <v>804</v>
      </c>
      <c r="B48" s="19" t="n">
        <v>1</v>
      </c>
      <c r="C48" s="18" t="s">
        <v>810</v>
      </c>
      <c r="D48" s="22" t="s">
        <v>809</v>
      </c>
      <c r="E48" s="18" t="s">
        <v>569</v>
      </c>
      <c r="F48" s="21" t="s">
        <v>813</v>
      </c>
      <c r="G48" s="18" t="s">
        <v>1619</v>
      </c>
      <c r="H48" s="18" t="s">
        <v>43</v>
      </c>
      <c r="I48" s="29"/>
      <c r="J48" s="29" t="n">
        <v>45743</v>
      </c>
      <c r="K48" s="24" t="n">
        <v>200000</v>
      </c>
      <c r="L48" s="21" t="s">
        <v>149</v>
      </c>
      <c r="M48" s="18" t="s">
        <v>1546</v>
      </c>
      <c r="N48" s="21" t="s">
        <v>1549</v>
      </c>
      <c r="O48" s="21" t="s">
        <v>814</v>
      </c>
      <c r="P48" s="29" t="n">
        <v>45744</v>
      </c>
      <c r="Q48" s="21" t="s">
        <v>805</v>
      </c>
      <c r="R48" s="21" t="s">
        <v>815</v>
      </c>
      <c r="S48" s="19" t="n">
        <f aca="false">COUNTIFS(Calls!$A$2:$A$9999,$A48,Calls!$B$2:$B$9999,$B48)</f>
        <v>2</v>
      </c>
      <c r="T48" s="19" t="n">
        <f aca="false">COUNTIFS(Calls!$A$2:$A$9999,$A48,Calls!$B$2:$B$9999,$B48,Calls!$N$2:$N$9999,"Reached*")</f>
        <v>0</v>
      </c>
      <c r="U48" s="31" t="n">
        <f aca="false">COUNTIFS(Calls!$A$2:$A$9999,$A48,Calls!$B$2:$B$9999,$B48,Calls!$O$2:$O$9999,"Interested")+COUNTIFS(Calls!$A$2:$A$9999,$A48,Calls!$B$2:$B$9999,$B48,Calls!$O$2:$O$9999,"Meeting booked")+COUNTIFS(Calls!$A$2:$A$9999,$A48,Calls!$B$2:$B$9999,$B48,Calls!$O$2:$O$9999,"Quote requested")</f>
        <v>0</v>
      </c>
      <c r="V48" s="21"/>
    </row>
    <row r="49" customFormat="false" ht="23.85" hidden="false" customHeight="false" outlineLevel="0" collapsed="false">
      <c r="A49" s="18" t="s">
        <v>819</v>
      </c>
      <c r="B49" s="19" t="n">
        <v>1</v>
      </c>
      <c r="C49" s="18" t="s">
        <v>824</v>
      </c>
      <c r="D49" s="22" t="s">
        <v>823</v>
      </c>
      <c r="E49" s="18" t="s">
        <v>537</v>
      </c>
      <c r="F49" s="21" t="s">
        <v>827</v>
      </c>
      <c r="G49" s="18" t="s">
        <v>1620</v>
      </c>
      <c r="H49" s="18" t="s">
        <v>43</v>
      </c>
      <c r="I49" s="29"/>
      <c r="J49" s="29" t="n">
        <v>46059</v>
      </c>
      <c r="K49" s="24" t="n">
        <v>50000</v>
      </c>
      <c r="L49" s="21" t="s">
        <v>149</v>
      </c>
      <c r="M49" s="18" t="s">
        <v>1546</v>
      </c>
      <c r="N49" s="21" t="s">
        <v>1587</v>
      </c>
      <c r="O49" s="21" t="s">
        <v>828</v>
      </c>
      <c r="P49" s="29" t="n">
        <v>46059</v>
      </c>
      <c r="Q49" s="21" t="s">
        <v>820</v>
      </c>
      <c r="R49" s="21" t="s">
        <v>829</v>
      </c>
      <c r="S49" s="19" t="n">
        <f aca="false">COUNTIFS(Calls!$A$2:$A$9999,$A49,Calls!$B$2:$B$9999,$B49)</f>
        <v>2</v>
      </c>
      <c r="T49" s="19" t="n">
        <f aca="false">COUNTIFS(Calls!$A$2:$A$9999,$A49,Calls!$B$2:$B$9999,$B49,Calls!$N$2:$N$9999,"Reached*")</f>
        <v>0</v>
      </c>
      <c r="U49" s="31" t="n">
        <f aca="false">COUNTIFS(Calls!$A$2:$A$9999,$A49,Calls!$B$2:$B$9999,$B49,Calls!$O$2:$O$9999,"Interested")+COUNTIFS(Calls!$A$2:$A$9999,$A49,Calls!$B$2:$B$9999,$B49,Calls!$O$2:$O$9999,"Meeting booked")+COUNTIFS(Calls!$A$2:$A$9999,$A49,Calls!$B$2:$B$9999,$B49,Calls!$O$2:$O$9999,"Quote requested")</f>
        <v>0</v>
      </c>
      <c r="V49" s="21"/>
    </row>
    <row r="50" customFormat="false" ht="15" hidden="false" customHeight="false" outlineLevel="0" collapsed="false">
      <c r="A50" s="18" t="s">
        <v>835</v>
      </c>
      <c r="B50" s="19" t="n">
        <v>1</v>
      </c>
      <c r="C50" s="18" t="s">
        <v>841</v>
      </c>
      <c r="D50" s="22" t="s">
        <v>839</v>
      </c>
      <c r="E50" s="18" t="s">
        <v>840</v>
      </c>
      <c r="F50" s="21" t="s">
        <v>844</v>
      </c>
      <c r="G50" s="18" t="s">
        <v>1621</v>
      </c>
      <c r="H50" s="18" t="s">
        <v>43</v>
      </c>
      <c r="I50" s="29"/>
      <c r="J50" s="29" t="n">
        <v>46045</v>
      </c>
      <c r="K50" s="24" t="n">
        <v>150000</v>
      </c>
      <c r="L50" s="21" t="s">
        <v>149</v>
      </c>
      <c r="M50" s="18" t="s">
        <v>1546</v>
      </c>
      <c r="N50" s="21" t="s">
        <v>1549</v>
      </c>
      <c r="O50" s="21" t="s">
        <v>845</v>
      </c>
      <c r="P50" s="29" t="n">
        <v>46045</v>
      </c>
      <c r="Q50" s="21" t="s">
        <v>836</v>
      </c>
      <c r="R50" s="21" t="s">
        <v>152</v>
      </c>
      <c r="S50" s="19" t="n">
        <f aca="false">COUNTIFS(Calls!$A$2:$A$9999,$A50,Calls!$B$2:$B$9999,$B50)</f>
        <v>2</v>
      </c>
      <c r="T50" s="19" t="n">
        <f aca="false">COUNTIFS(Calls!$A$2:$A$9999,$A50,Calls!$B$2:$B$9999,$B50,Calls!$N$2:$N$9999,"Reached*")</f>
        <v>0</v>
      </c>
      <c r="U50" s="31" t="n">
        <f aca="false">COUNTIFS(Calls!$A$2:$A$9999,$A50,Calls!$B$2:$B$9999,$B50,Calls!$O$2:$O$9999,"Interested")+COUNTIFS(Calls!$A$2:$A$9999,$A50,Calls!$B$2:$B$9999,$B50,Calls!$O$2:$O$9999,"Meeting booked")+COUNTIFS(Calls!$A$2:$A$9999,$A50,Calls!$B$2:$B$9999,$B50,Calls!$O$2:$O$9999,"Quote requested")</f>
        <v>0</v>
      </c>
      <c r="V50" s="21"/>
    </row>
    <row r="51" customFormat="false" ht="23.85" hidden="false" customHeight="false" outlineLevel="0" collapsed="false">
      <c r="A51" s="18" t="s">
        <v>846</v>
      </c>
      <c r="B51" s="19" t="n">
        <v>1</v>
      </c>
      <c r="C51" s="18" t="s">
        <v>853</v>
      </c>
      <c r="D51" s="22" t="s">
        <v>851</v>
      </c>
      <c r="E51" s="18" t="s">
        <v>852</v>
      </c>
      <c r="F51" s="21" t="s">
        <v>854</v>
      </c>
      <c r="G51" s="18" t="s">
        <v>1622</v>
      </c>
      <c r="H51" s="18" t="s">
        <v>43</v>
      </c>
      <c r="I51" s="29"/>
      <c r="J51" s="29" t="n">
        <v>46041</v>
      </c>
      <c r="K51" s="24" t="n">
        <v>80000</v>
      </c>
      <c r="L51" s="21" t="s">
        <v>149</v>
      </c>
      <c r="M51" s="18" t="s">
        <v>1546</v>
      </c>
      <c r="N51" s="21" t="s">
        <v>1623</v>
      </c>
      <c r="O51" s="21" t="s">
        <v>856</v>
      </c>
      <c r="P51" s="29" t="n">
        <v>46042</v>
      </c>
      <c r="Q51" s="21" t="s">
        <v>847</v>
      </c>
      <c r="R51" s="21" t="s">
        <v>857</v>
      </c>
      <c r="S51" s="19" t="n">
        <f aca="false">COUNTIFS(Calls!$A$2:$A$9999,$A51,Calls!$B$2:$B$9999,$B51)</f>
        <v>2</v>
      </c>
      <c r="T51" s="19" t="n">
        <f aca="false">COUNTIFS(Calls!$A$2:$A$9999,$A51,Calls!$B$2:$B$9999,$B51,Calls!$N$2:$N$9999,"Reached*")</f>
        <v>0</v>
      </c>
      <c r="U51" s="31" t="n">
        <f aca="false">COUNTIFS(Calls!$A$2:$A$9999,$A51,Calls!$B$2:$B$9999,$B51,Calls!$O$2:$O$9999,"Interested")+COUNTIFS(Calls!$A$2:$A$9999,$A51,Calls!$B$2:$B$9999,$B51,Calls!$O$2:$O$9999,"Meeting booked")+COUNTIFS(Calls!$A$2:$A$9999,$A51,Calls!$B$2:$B$9999,$B51,Calls!$O$2:$O$9999,"Quote requested")</f>
        <v>0</v>
      </c>
      <c r="V51" s="21"/>
    </row>
    <row r="52" customFormat="false" ht="23.85" hidden="false" customHeight="false" outlineLevel="0" collapsed="false">
      <c r="A52" s="18" t="s">
        <v>863</v>
      </c>
      <c r="B52" s="19" t="n">
        <v>1</v>
      </c>
      <c r="C52" s="18" t="s">
        <v>866</v>
      </c>
      <c r="D52" s="22" t="s">
        <v>865</v>
      </c>
      <c r="E52" s="18" t="s">
        <v>569</v>
      </c>
      <c r="F52" s="21" t="s">
        <v>867</v>
      </c>
      <c r="G52" s="18" t="s">
        <v>1624</v>
      </c>
      <c r="H52" s="18" t="s">
        <v>43</v>
      </c>
      <c r="I52" s="29"/>
      <c r="J52" s="29" t="n">
        <v>46056</v>
      </c>
      <c r="K52" s="24" t="n">
        <v>90000</v>
      </c>
      <c r="L52" s="21" t="s">
        <v>149</v>
      </c>
      <c r="M52" s="18" t="s">
        <v>1546</v>
      </c>
      <c r="N52" s="21" t="s">
        <v>1625</v>
      </c>
      <c r="O52" s="21" t="s">
        <v>868</v>
      </c>
      <c r="P52" s="29" t="n">
        <v>46056</v>
      </c>
      <c r="Q52" s="21" t="s">
        <v>398</v>
      </c>
      <c r="R52" s="21" t="s">
        <v>869</v>
      </c>
      <c r="S52" s="19" t="n">
        <f aca="false">COUNTIFS(Calls!$A$2:$A$9999,$A52,Calls!$B$2:$B$9999,$B52)</f>
        <v>2</v>
      </c>
      <c r="T52" s="19" t="n">
        <f aca="false">COUNTIFS(Calls!$A$2:$A$9999,$A52,Calls!$B$2:$B$9999,$B52,Calls!$N$2:$N$9999,"Reached*")</f>
        <v>0</v>
      </c>
      <c r="U52" s="31" t="n">
        <f aca="false">COUNTIFS(Calls!$A$2:$A$9999,$A52,Calls!$B$2:$B$9999,$B52,Calls!$O$2:$O$9999,"Interested")+COUNTIFS(Calls!$A$2:$A$9999,$A52,Calls!$B$2:$B$9999,$B52,Calls!$O$2:$O$9999,"Meeting booked")+COUNTIFS(Calls!$A$2:$A$9999,$A52,Calls!$B$2:$B$9999,$B52,Calls!$O$2:$O$9999,"Quote requested")</f>
        <v>0</v>
      </c>
      <c r="V52" s="21"/>
    </row>
    <row r="53" customFormat="false" ht="23.85" hidden="false" customHeight="false" outlineLevel="0" collapsed="false">
      <c r="A53" s="18" t="s">
        <v>875</v>
      </c>
      <c r="B53" s="19" t="n">
        <v>1</v>
      </c>
      <c r="C53" s="18" t="s">
        <v>879</v>
      </c>
      <c r="D53" s="22" t="s">
        <v>878</v>
      </c>
      <c r="E53" s="18" t="s">
        <v>569</v>
      </c>
      <c r="F53" s="21" t="s">
        <v>881</v>
      </c>
      <c r="G53" s="18" t="s">
        <v>1626</v>
      </c>
      <c r="H53" s="18" t="s">
        <v>43</v>
      </c>
      <c r="I53" s="29"/>
      <c r="J53" s="29" t="n">
        <v>46038</v>
      </c>
      <c r="K53" s="24" t="n">
        <v>170000</v>
      </c>
      <c r="L53" s="21" t="s">
        <v>149</v>
      </c>
      <c r="M53" s="18" t="s">
        <v>1546</v>
      </c>
      <c r="N53" s="21" t="s">
        <v>1549</v>
      </c>
      <c r="O53" s="21" t="s">
        <v>882</v>
      </c>
      <c r="P53" s="29" t="n">
        <v>46039</v>
      </c>
      <c r="Q53" s="21" t="s">
        <v>876</v>
      </c>
      <c r="R53" s="21" t="s">
        <v>883</v>
      </c>
      <c r="S53" s="19" t="n">
        <f aca="false">COUNTIFS(Calls!$A$2:$A$9999,$A53,Calls!$B$2:$B$9999,$B53)</f>
        <v>2</v>
      </c>
      <c r="T53" s="19" t="n">
        <f aca="false">COUNTIFS(Calls!$A$2:$A$9999,$A53,Calls!$B$2:$B$9999,$B53,Calls!$N$2:$N$9999,"Reached*")</f>
        <v>0</v>
      </c>
      <c r="U53" s="31" t="n">
        <f aca="false">COUNTIFS(Calls!$A$2:$A$9999,$A53,Calls!$B$2:$B$9999,$B53,Calls!$O$2:$O$9999,"Interested")+COUNTIFS(Calls!$A$2:$A$9999,$A53,Calls!$B$2:$B$9999,$B53,Calls!$O$2:$O$9999,"Meeting booked")+COUNTIFS(Calls!$A$2:$A$9999,$A53,Calls!$B$2:$B$9999,$B53,Calls!$O$2:$O$9999,"Quote requested")</f>
        <v>0</v>
      </c>
      <c r="V53" s="21"/>
    </row>
    <row r="54" customFormat="false" ht="46.25" hidden="false" customHeight="false" outlineLevel="0" collapsed="false">
      <c r="A54" s="18" t="s">
        <v>889</v>
      </c>
      <c r="B54" s="19" t="n">
        <v>1</v>
      </c>
      <c r="C54" s="18" t="s">
        <v>893</v>
      </c>
      <c r="D54" s="22" t="s">
        <v>891</v>
      </c>
      <c r="E54" s="18" t="s">
        <v>892</v>
      </c>
      <c r="F54" s="21" t="s">
        <v>895</v>
      </c>
      <c r="G54" s="18" t="s">
        <v>1627</v>
      </c>
      <c r="H54" s="18" t="s">
        <v>42</v>
      </c>
      <c r="I54" s="29" t="n">
        <v>46066</v>
      </c>
      <c r="J54" s="29"/>
      <c r="K54" s="24" t="n">
        <v>500000</v>
      </c>
      <c r="L54" s="21" t="s">
        <v>149</v>
      </c>
      <c r="M54" s="18"/>
      <c r="N54" s="21" t="s">
        <v>1628</v>
      </c>
      <c r="O54" s="21" t="s">
        <v>896</v>
      </c>
      <c r="P54" s="29" t="n">
        <v>46066</v>
      </c>
      <c r="Q54" s="21" t="s">
        <v>890</v>
      </c>
      <c r="R54" s="21"/>
      <c r="S54" s="19" t="n">
        <f aca="false">COUNTIFS(Calls!$A$2:$A$9999,$A54,Calls!$B$2:$B$9999,$B54)</f>
        <v>2</v>
      </c>
      <c r="T54" s="19" t="n">
        <f aca="false">COUNTIFS(Calls!$A$2:$A$9999,$A54,Calls!$B$2:$B$9999,$B54,Calls!$N$2:$N$9999,"Reached*")</f>
        <v>0</v>
      </c>
      <c r="U54" s="31" t="n">
        <f aca="false">COUNTIFS(Calls!$A$2:$A$9999,$A54,Calls!$B$2:$B$9999,$B54,Calls!$O$2:$O$9999,"Interested")+COUNTIFS(Calls!$A$2:$A$9999,$A54,Calls!$B$2:$B$9999,$B54,Calls!$O$2:$O$9999,"Meeting booked")+COUNTIFS(Calls!$A$2:$A$9999,$A54,Calls!$B$2:$B$9999,$B54,Calls!$O$2:$O$9999,"Quote requested")</f>
        <v>0</v>
      </c>
      <c r="V54" s="21"/>
    </row>
    <row r="55" customFormat="false" ht="15" hidden="false" customHeight="false" outlineLevel="0" collapsed="false">
      <c r="A55" s="18" t="s">
        <v>903</v>
      </c>
      <c r="B55" s="19" t="n">
        <v>1</v>
      </c>
      <c r="C55" s="18" t="s">
        <v>908</v>
      </c>
      <c r="D55" s="22" t="s">
        <v>839</v>
      </c>
      <c r="E55" s="18" t="s">
        <v>569</v>
      </c>
      <c r="F55" s="21" t="s">
        <v>911</v>
      </c>
      <c r="G55" s="18" t="s">
        <v>1629</v>
      </c>
      <c r="H55" s="18" t="s">
        <v>43</v>
      </c>
      <c r="I55" s="29"/>
      <c r="J55" s="29" t="n">
        <v>46062</v>
      </c>
      <c r="K55" s="24" t="n">
        <v>90000</v>
      </c>
      <c r="L55" s="21" t="s">
        <v>149</v>
      </c>
      <c r="M55" s="18" t="s">
        <v>1546</v>
      </c>
      <c r="N55" s="21" t="s">
        <v>1549</v>
      </c>
      <c r="O55" s="21" t="s">
        <v>912</v>
      </c>
      <c r="P55" s="29" t="n">
        <v>46062</v>
      </c>
      <c r="Q55" s="21" t="s">
        <v>904</v>
      </c>
      <c r="R55" s="21" t="s">
        <v>913</v>
      </c>
      <c r="S55" s="19" t="n">
        <f aca="false">COUNTIFS(Calls!$A$2:$A$9999,$A55,Calls!$B$2:$B$9999,$B55)</f>
        <v>2</v>
      </c>
      <c r="T55" s="19" t="n">
        <f aca="false">COUNTIFS(Calls!$A$2:$A$9999,$A55,Calls!$B$2:$B$9999,$B55,Calls!$N$2:$N$9999,"Reached*")</f>
        <v>0</v>
      </c>
      <c r="U55" s="31" t="n">
        <f aca="false">COUNTIFS(Calls!$A$2:$A$9999,$A55,Calls!$B$2:$B$9999,$B55,Calls!$O$2:$O$9999,"Interested")+COUNTIFS(Calls!$A$2:$A$9999,$A55,Calls!$B$2:$B$9999,$B55,Calls!$O$2:$O$9999,"Meeting booked")+COUNTIFS(Calls!$A$2:$A$9999,$A55,Calls!$B$2:$B$9999,$B55,Calls!$O$2:$O$9999,"Quote requested")</f>
        <v>0</v>
      </c>
      <c r="V55" s="21"/>
    </row>
    <row r="56" customFormat="false" ht="23.85" hidden="false" customHeight="false" outlineLevel="0" collapsed="false">
      <c r="A56" s="18" t="s">
        <v>918</v>
      </c>
      <c r="B56" s="19" t="n">
        <v>1</v>
      </c>
      <c r="C56" s="18" t="s">
        <v>924</v>
      </c>
      <c r="D56" s="22" t="s">
        <v>923</v>
      </c>
      <c r="E56" s="18" t="s">
        <v>569</v>
      </c>
      <c r="F56" s="21" t="s">
        <v>927</v>
      </c>
      <c r="G56" s="18" t="s">
        <v>1630</v>
      </c>
      <c r="H56" s="18" t="s">
        <v>43</v>
      </c>
      <c r="I56" s="29"/>
      <c r="J56" s="29" t="n">
        <v>46062</v>
      </c>
      <c r="K56" s="24" t="n">
        <v>300000</v>
      </c>
      <c r="L56" s="21" t="s">
        <v>149</v>
      </c>
      <c r="M56" s="18" t="s">
        <v>1546</v>
      </c>
      <c r="N56" s="21" t="s">
        <v>1631</v>
      </c>
      <c r="O56" s="21" t="s">
        <v>928</v>
      </c>
      <c r="P56" s="29" t="n">
        <v>46062</v>
      </c>
      <c r="Q56" s="21" t="s">
        <v>919</v>
      </c>
      <c r="R56" s="21"/>
      <c r="S56" s="19" t="n">
        <f aca="false">COUNTIFS(Calls!$A$2:$A$9999,$A56,Calls!$B$2:$B$9999,$B56)</f>
        <v>1</v>
      </c>
      <c r="T56" s="19" t="n">
        <f aca="false">COUNTIFS(Calls!$A$2:$A$9999,$A56,Calls!$B$2:$B$9999,$B56,Calls!$N$2:$N$9999,"Reached*")</f>
        <v>0</v>
      </c>
      <c r="U56" s="31" t="n">
        <f aca="false">COUNTIFS(Calls!$A$2:$A$9999,$A56,Calls!$B$2:$B$9999,$B56,Calls!$O$2:$O$9999,"Interested")+COUNTIFS(Calls!$A$2:$A$9999,$A56,Calls!$B$2:$B$9999,$B56,Calls!$O$2:$O$9999,"Meeting booked")+COUNTIFS(Calls!$A$2:$A$9999,$A56,Calls!$B$2:$B$9999,$B56,Calls!$O$2:$O$9999,"Quote requested")</f>
        <v>0</v>
      </c>
      <c r="V56" s="21"/>
    </row>
    <row r="57" customFormat="false" ht="23.85" hidden="false" customHeight="false" outlineLevel="0" collapsed="false">
      <c r="A57" s="18" t="s">
        <v>929</v>
      </c>
      <c r="B57" s="19" t="n">
        <v>1</v>
      </c>
      <c r="C57" s="18" t="s">
        <v>933</v>
      </c>
      <c r="D57" s="22" t="s">
        <v>181</v>
      </c>
      <c r="E57" s="18" t="s">
        <v>460</v>
      </c>
      <c r="F57" s="21" t="s">
        <v>934</v>
      </c>
      <c r="G57" s="18" t="s">
        <v>1632</v>
      </c>
      <c r="H57" s="18" t="s">
        <v>43</v>
      </c>
      <c r="I57" s="29"/>
      <c r="J57" s="29" t="n">
        <v>46062</v>
      </c>
      <c r="K57" s="24" t="n">
        <v>90000</v>
      </c>
      <c r="L57" s="21" t="s">
        <v>149</v>
      </c>
      <c r="M57" s="18" t="s">
        <v>1546</v>
      </c>
      <c r="N57" s="21" t="s">
        <v>1549</v>
      </c>
      <c r="O57" s="21" t="s">
        <v>936</v>
      </c>
      <c r="P57" s="29" t="n">
        <v>46062</v>
      </c>
      <c r="Q57" s="21" t="s">
        <v>930</v>
      </c>
      <c r="R57" s="21" t="s">
        <v>937</v>
      </c>
      <c r="S57" s="19" t="n">
        <f aca="false">COUNTIFS(Calls!$A$2:$A$9999,$A57,Calls!$B$2:$B$9999,$B57)</f>
        <v>2</v>
      </c>
      <c r="T57" s="19" t="n">
        <f aca="false">COUNTIFS(Calls!$A$2:$A$9999,$A57,Calls!$B$2:$B$9999,$B57,Calls!$N$2:$N$9999,"Reached*")</f>
        <v>0</v>
      </c>
      <c r="U57" s="31" t="n">
        <f aca="false">COUNTIFS(Calls!$A$2:$A$9999,$A57,Calls!$B$2:$B$9999,$B57,Calls!$O$2:$O$9999,"Interested")+COUNTIFS(Calls!$A$2:$A$9999,$A57,Calls!$B$2:$B$9999,$B57,Calls!$O$2:$O$9999,"Meeting booked")+COUNTIFS(Calls!$A$2:$A$9999,$A57,Calls!$B$2:$B$9999,$B57,Calls!$O$2:$O$9999,"Quote requested")</f>
        <v>0</v>
      </c>
      <c r="V57" s="21"/>
    </row>
    <row r="58" customFormat="false" ht="23.85" hidden="false" customHeight="false" outlineLevel="0" collapsed="false">
      <c r="A58" s="18" t="s">
        <v>943</v>
      </c>
      <c r="B58" s="19" t="n">
        <v>1</v>
      </c>
      <c r="C58" s="18" t="s">
        <v>946</v>
      </c>
      <c r="D58" s="22" t="s">
        <v>823</v>
      </c>
      <c r="E58" s="18" t="s">
        <v>143</v>
      </c>
      <c r="F58" s="21" t="s">
        <v>949</v>
      </c>
      <c r="G58" s="18" t="s">
        <v>1633</v>
      </c>
      <c r="H58" s="18" t="s">
        <v>43</v>
      </c>
      <c r="I58" s="29"/>
      <c r="J58" s="29" t="n">
        <v>46038</v>
      </c>
      <c r="K58" s="24" t="n">
        <v>50000</v>
      </c>
      <c r="L58" s="21" t="s">
        <v>149</v>
      </c>
      <c r="M58" s="18" t="s">
        <v>1546</v>
      </c>
      <c r="N58" s="21" t="s">
        <v>1587</v>
      </c>
      <c r="O58" s="21" t="s">
        <v>950</v>
      </c>
      <c r="P58" s="29" t="n">
        <v>46038</v>
      </c>
      <c r="Q58" s="21" t="s">
        <v>944</v>
      </c>
      <c r="R58" s="21" t="s">
        <v>951</v>
      </c>
      <c r="S58" s="19" t="n">
        <f aca="false">COUNTIFS(Calls!$A$2:$A$9999,$A58,Calls!$B$2:$B$9999,$B58)</f>
        <v>2</v>
      </c>
      <c r="T58" s="19" t="n">
        <f aca="false">COUNTIFS(Calls!$A$2:$A$9999,$A58,Calls!$B$2:$B$9999,$B58,Calls!$N$2:$N$9999,"Reached*")</f>
        <v>0</v>
      </c>
      <c r="U58" s="31" t="n">
        <f aca="false">COUNTIFS(Calls!$A$2:$A$9999,$A58,Calls!$B$2:$B$9999,$B58,Calls!$O$2:$O$9999,"Interested")+COUNTIFS(Calls!$A$2:$A$9999,$A58,Calls!$B$2:$B$9999,$B58,Calls!$O$2:$O$9999,"Meeting booked")+COUNTIFS(Calls!$A$2:$A$9999,$A58,Calls!$B$2:$B$9999,$B58,Calls!$O$2:$O$9999,"Quote requested")</f>
        <v>0</v>
      </c>
      <c r="V58" s="21"/>
    </row>
    <row r="59" customFormat="false" ht="23.85" hidden="false" customHeight="false" outlineLevel="0" collapsed="false">
      <c r="A59" s="18" t="s">
        <v>957</v>
      </c>
      <c r="B59" s="19" t="n">
        <v>1</v>
      </c>
      <c r="C59" s="18" t="s">
        <v>963</v>
      </c>
      <c r="D59" s="22" t="s">
        <v>961</v>
      </c>
      <c r="E59" s="18" t="s">
        <v>962</v>
      </c>
      <c r="F59" s="21" t="s">
        <v>965</v>
      </c>
      <c r="G59" s="18" t="s">
        <v>1634</v>
      </c>
      <c r="H59" s="18" t="s">
        <v>42</v>
      </c>
      <c r="I59" s="29" t="n">
        <v>46038</v>
      </c>
      <c r="J59" s="29"/>
      <c r="K59" s="24" t="n">
        <v>100000</v>
      </c>
      <c r="L59" s="21" t="s">
        <v>149</v>
      </c>
      <c r="M59" s="18"/>
      <c r="N59" s="21" t="s">
        <v>1547</v>
      </c>
      <c r="O59" s="21" t="s">
        <v>966</v>
      </c>
      <c r="P59" s="29" t="n">
        <v>46041</v>
      </c>
      <c r="Q59" s="21"/>
      <c r="R59" s="21" t="s">
        <v>958</v>
      </c>
      <c r="S59" s="19" t="n">
        <f aca="false">COUNTIFS(Calls!$A$2:$A$9999,$A59,Calls!$B$2:$B$9999,$B59)</f>
        <v>1</v>
      </c>
      <c r="T59" s="19" t="n">
        <f aca="false">COUNTIFS(Calls!$A$2:$A$9999,$A59,Calls!$B$2:$B$9999,$B59,Calls!$N$2:$N$9999,"Reached*")</f>
        <v>0</v>
      </c>
      <c r="U59" s="31" t="n">
        <f aca="false">COUNTIFS(Calls!$A$2:$A$9999,$A59,Calls!$B$2:$B$9999,$B59,Calls!$O$2:$O$9999,"Interested")+COUNTIFS(Calls!$A$2:$A$9999,$A59,Calls!$B$2:$B$9999,$B59,Calls!$O$2:$O$9999,"Meeting booked")+COUNTIFS(Calls!$A$2:$A$9999,$A59,Calls!$B$2:$B$9999,$B59,Calls!$O$2:$O$9999,"Quote requested")</f>
        <v>0</v>
      </c>
      <c r="V59" s="21"/>
    </row>
    <row r="60" customFormat="false" ht="35.05" hidden="false" customHeight="false" outlineLevel="0" collapsed="false">
      <c r="A60" s="18" t="s">
        <v>967</v>
      </c>
      <c r="B60" s="19" t="n">
        <v>1</v>
      </c>
      <c r="C60" s="18" t="s">
        <v>973</v>
      </c>
      <c r="D60" s="22" t="s">
        <v>971</v>
      </c>
      <c r="E60" s="18" t="s">
        <v>972</v>
      </c>
      <c r="F60" s="21" t="s">
        <v>976</v>
      </c>
      <c r="G60" s="18" t="s">
        <v>1635</v>
      </c>
      <c r="H60" s="18" t="s">
        <v>42</v>
      </c>
      <c r="I60" s="29" t="n">
        <v>45408</v>
      </c>
      <c r="J60" s="29"/>
      <c r="K60" s="24" t="n">
        <v>500000</v>
      </c>
      <c r="L60" s="21" t="s">
        <v>229</v>
      </c>
      <c r="M60" s="18"/>
      <c r="N60" s="21" t="s">
        <v>1636</v>
      </c>
      <c r="O60" s="21" t="s">
        <v>977</v>
      </c>
      <c r="P60" s="29" t="n">
        <v>46058</v>
      </c>
      <c r="Q60" s="21" t="s">
        <v>968</v>
      </c>
      <c r="R60" s="21" t="s">
        <v>978</v>
      </c>
      <c r="S60" s="19" t="n">
        <f aca="false">COUNTIFS(Calls!$A$2:$A$9999,$A60,Calls!$B$2:$B$9999,$B60)</f>
        <v>2</v>
      </c>
      <c r="T60" s="19" t="n">
        <f aca="false">COUNTIFS(Calls!$A$2:$A$9999,$A60,Calls!$B$2:$B$9999,$B60,Calls!$N$2:$N$9999,"Reached*")</f>
        <v>0</v>
      </c>
      <c r="U60" s="31" t="n">
        <f aca="false">COUNTIFS(Calls!$A$2:$A$9999,$A60,Calls!$B$2:$B$9999,$B60,Calls!$O$2:$O$9999,"Interested")+COUNTIFS(Calls!$A$2:$A$9999,$A60,Calls!$B$2:$B$9999,$B60,Calls!$O$2:$O$9999,"Meeting booked")+COUNTIFS(Calls!$A$2:$A$9999,$A60,Calls!$B$2:$B$9999,$B60,Calls!$O$2:$O$9999,"Quote requested")</f>
        <v>0</v>
      </c>
      <c r="V60" s="21"/>
    </row>
    <row r="61" customFormat="false" ht="15" hidden="false" customHeight="false" outlineLevel="0" collapsed="false">
      <c r="A61" s="18" t="s">
        <v>984</v>
      </c>
      <c r="B61" s="19" t="n">
        <v>1</v>
      </c>
      <c r="C61" s="18" t="s">
        <v>991</v>
      </c>
      <c r="D61" s="22" t="s">
        <v>989</v>
      </c>
      <c r="E61" s="18" t="s">
        <v>990</v>
      </c>
      <c r="F61" s="21" t="s">
        <v>994</v>
      </c>
      <c r="G61" s="18" t="s">
        <v>1637</v>
      </c>
      <c r="H61" s="18" t="s">
        <v>43</v>
      </c>
      <c r="I61" s="29" t="n">
        <v>45604</v>
      </c>
      <c r="J61" s="29" t="n">
        <v>46029</v>
      </c>
      <c r="K61" s="24" t="n">
        <v>100000</v>
      </c>
      <c r="L61" s="21" t="s">
        <v>149</v>
      </c>
      <c r="M61" s="18"/>
      <c r="N61" s="21" t="s">
        <v>1625</v>
      </c>
      <c r="O61" s="21" t="s">
        <v>995</v>
      </c>
      <c r="P61" s="29" t="n">
        <v>46029</v>
      </c>
      <c r="Q61" s="21" t="s">
        <v>985</v>
      </c>
      <c r="R61" s="21" t="s">
        <v>996</v>
      </c>
      <c r="S61" s="19" t="n">
        <f aca="false">COUNTIFS(Calls!$A$2:$A$9999,$A61,Calls!$B$2:$B$9999,$B61)</f>
        <v>2</v>
      </c>
      <c r="T61" s="19" t="n">
        <f aca="false">COUNTIFS(Calls!$A$2:$A$9999,$A61,Calls!$B$2:$B$9999,$B61,Calls!$N$2:$N$9999,"Reached*")</f>
        <v>0</v>
      </c>
      <c r="U61" s="31" t="n">
        <f aca="false">COUNTIFS(Calls!$A$2:$A$9999,$A61,Calls!$B$2:$B$9999,$B61,Calls!$O$2:$O$9999,"Interested")+COUNTIFS(Calls!$A$2:$A$9999,$A61,Calls!$B$2:$B$9999,$B61,Calls!$O$2:$O$9999,"Meeting booked")+COUNTIFS(Calls!$A$2:$A$9999,$A61,Calls!$B$2:$B$9999,$B61,Calls!$O$2:$O$9999,"Quote requested")</f>
        <v>0</v>
      </c>
      <c r="V61" s="21"/>
    </row>
    <row r="62" customFormat="false" ht="23.85" hidden="false" customHeight="false" outlineLevel="0" collapsed="false">
      <c r="A62" s="18" t="s">
        <v>1001</v>
      </c>
      <c r="B62" s="19" t="n">
        <v>1</v>
      </c>
      <c r="C62" s="18" t="s">
        <v>1007</v>
      </c>
      <c r="D62" s="22" t="s">
        <v>1005</v>
      </c>
      <c r="E62" s="18" t="s">
        <v>1006</v>
      </c>
      <c r="F62" s="21" t="s">
        <v>1010</v>
      </c>
      <c r="G62" s="18" t="s">
        <v>1638</v>
      </c>
      <c r="H62" s="18" t="s">
        <v>42</v>
      </c>
      <c r="I62" s="29" t="n">
        <v>45877</v>
      </c>
      <c r="J62" s="29"/>
      <c r="K62" s="24" t="n">
        <v>420000</v>
      </c>
      <c r="L62" s="21" t="s">
        <v>254</v>
      </c>
      <c r="M62" s="18"/>
      <c r="N62" s="21" t="s">
        <v>1639</v>
      </c>
      <c r="O62" s="21" t="s">
        <v>1011</v>
      </c>
      <c r="P62" s="29" t="n">
        <v>45883</v>
      </c>
      <c r="Q62" s="21" t="s">
        <v>1002</v>
      </c>
      <c r="R62" s="21" t="s">
        <v>1012</v>
      </c>
      <c r="S62" s="19" t="n">
        <f aca="false">COUNTIFS(Calls!$A$2:$A$9999,$A62,Calls!$B$2:$B$9999,$B62)</f>
        <v>2</v>
      </c>
      <c r="T62" s="19" t="n">
        <f aca="false">COUNTIFS(Calls!$A$2:$A$9999,$A62,Calls!$B$2:$B$9999,$B62,Calls!$N$2:$N$9999,"Reached*")</f>
        <v>0</v>
      </c>
      <c r="U62" s="31" t="n">
        <f aca="false">COUNTIFS(Calls!$A$2:$A$9999,$A62,Calls!$B$2:$B$9999,$B62,Calls!$O$2:$O$9999,"Interested")+COUNTIFS(Calls!$A$2:$A$9999,$A62,Calls!$B$2:$B$9999,$B62,Calls!$O$2:$O$9999,"Meeting booked")+COUNTIFS(Calls!$A$2:$A$9999,$A62,Calls!$B$2:$B$9999,$B62,Calls!$O$2:$O$9999,"Quote requested")</f>
        <v>0</v>
      </c>
      <c r="V62" s="21"/>
    </row>
    <row r="63" customFormat="false" ht="23.85" hidden="false" customHeight="false" outlineLevel="0" collapsed="false">
      <c r="A63" s="18" t="s">
        <v>1018</v>
      </c>
      <c r="B63" s="19" t="n">
        <v>1</v>
      </c>
      <c r="C63" s="18" t="s">
        <v>1025</v>
      </c>
      <c r="D63" s="22" t="s">
        <v>1023</v>
      </c>
      <c r="E63" s="18" t="s">
        <v>1024</v>
      </c>
      <c r="F63" s="21" t="s">
        <v>1028</v>
      </c>
      <c r="G63" s="18" t="s">
        <v>1640</v>
      </c>
      <c r="H63" s="18" t="s">
        <v>43</v>
      </c>
      <c r="I63" s="29"/>
      <c r="J63" s="29" t="n">
        <v>46030</v>
      </c>
      <c r="K63" s="24" t="n">
        <v>50000</v>
      </c>
      <c r="L63" s="21" t="s">
        <v>149</v>
      </c>
      <c r="M63" s="18" t="s">
        <v>1546</v>
      </c>
      <c r="N63" s="21" t="s">
        <v>1587</v>
      </c>
      <c r="O63" s="21" t="s">
        <v>1029</v>
      </c>
      <c r="P63" s="29" t="n">
        <v>46030</v>
      </c>
      <c r="Q63" s="21" t="s">
        <v>1019</v>
      </c>
      <c r="R63" s="21" t="s">
        <v>1030</v>
      </c>
      <c r="S63" s="19" t="n">
        <f aca="false">COUNTIFS(Calls!$A$2:$A$9999,$A63,Calls!$B$2:$B$9999,$B63)</f>
        <v>2</v>
      </c>
      <c r="T63" s="19" t="n">
        <f aca="false">COUNTIFS(Calls!$A$2:$A$9999,$A63,Calls!$B$2:$B$9999,$B63,Calls!$N$2:$N$9999,"Reached*")</f>
        <v>0</v>
      </c>
      <c r="U63" s="31" t="n">
        <f aca="false">COUNTIFS(Calls!$A$2:$A$9999,$A63,Calls!$B$2:$B$9999,$B63,Calls!$O$2:$O$9999,"Interested")+COUNTIFS(Calls!$A$2:$A$9999,$A63,Calls!$B$2:$B$9999,$B63,Calls!$O$2:$O$9999,"Meeting booked")+COUNTIFS(Calls!$A$2:$A$9999,$A63,Calls!$B$2:$B$9999,$B63,Calls!$O$2:$O$9999,"Quote requested")</f>
        <v>0</v>
      </c>
      <c r="V63" s="21"/>
    </row>
    <row r="64" customFormat="false" ht="15" hidden="false" customHeight="false" outlineLevel="0" collapsed="false">
      <c r="A64" s="18" t="s">
        <v>1036</v>
      </c>
      <c r="B64" s="19" t="n">
        <v>1</v>
      </c>
      <c r="C64" s="18" t="s">
        <v>1042</v>
      </c>
      <c r="D64" s="22" t="s">
        <v>1040</v>
      </c>
      <c r="E64" s="18" t="s">
        <v>1041</v>
      </c>
      <c r="F64" s="21" t="s">
        <v>1045</v>
      </c>
      <c r="G64" s="18" t="s">
        <v>1641</v>
      </c>
      <c r="H64" s="18" t="s">
        <v>43</v>
      </c>
      <c r="I64" s="29"/>
      <c r="J64" s="29" t="n">
        <v>45996</v>
      </c>
      <c r="K64" s="24" t="n">
        <v>90000</v>
      </c>
      <c r="L64" s="21" t="s">
        <v>149</v>
      </c>
      <c r="M64" s="18" t="s">
        <v>1546</v>
      </c>
      <c r="N64" s="21" t="s">
        <v>1549</v>
      </c>
      <c r="O64" s="21" t="s">
        <v>1046</v>
      </c>
      <c r="P64" s="29" t="n">
        <v>45996</v>
      </c>
      <c r="Q64" s="21" t="s">
        <v>1037</v>
      </c>
      <c r="R64" s="21" t="s">
        <v>1047</v>
      </c>
      <c r="S64" s="19" t="n">
        <f aca="false">COUNTIFS(Calls!$A$2:$A$9999,$A64,Calls!$B$2:$B$9999,$B64)</f>
        <v>2</v>
      </c>
      <c r="T64" s="19" t="n">
        <f aca="false">COUNTIFS(Calls!$A$2:$A$9999,$A64,Calls!$B$2:$B$9999,$B64,Calls!$N$2:$N$9999,"Reached*")</f>
        <v>0</v>
      </c>
      <c r="U64" s="31" t="n">
        <f aca="false">COUNTIFS(Calls!$A$2:$A$9999,$A64,Calls!$B$2:$B$9999,$B64,Calls!$O$2:$O$9999,"Interested")+COUNTIFS(Calls!$A$2:$A$9999,$A64,Calls!$B$2:$B$9999,$B64,Calls!$O$2:$O$9999,"Meeting booked")+COUNTIFS(Calls!$A$2:$A$9999,$A64,Calls!$B$2:$B$9999,$B64,Calls!$O$2:$O$9999,"Quote requested")</f>
        <v>0</v>
      </c>
      <c r="V64" s="21"/>
    </row>
    <row r="65" customFormat="false" ht="15" hidden="false" customHeight="false" outlineLevel="0" collapsed="false">
      <c r="A65" s="18" t="s">
        <v>1053</v>
      </c>
      <c r="B65" s="19" t="n">
        <v>1</v>
      </c>
      <c r="C65" s="18" t="s">
        <v>1059</v>
      </c>
      <c r="D65" s="22" t="s">
        <v>1058</v>
      </c>
      <c r="E65" s="18" t="s">
        <v>161</v>
      </c>
      <c r="F65" s="21" t="s">
        <v>1062</v>
      </c>
      <c r="G65" s="18" t="s">
        <v>1642</v>
      </c>
      <c r="H65" s="18" t="s">
        <v>43</v>
      </c>
      <c r="I65" s="29"/>
      <c r="J65" s="29" t="n">
        <v>45992</v>
      </c>
      <c r="K65" s="24" t="n">
        <v>90000</v>
      </c>
      <c r="L65" s="21" t="s">
        <v>254</v>
      </c>
      <c r="M65" s="18" t="s">
        <v>1546</v>
      </c>
      <c r="N65" s="21" t="s">
        <v>1643</v>
      </c>
      <c r="O65" s="21" t="s">
        <v>1063</v>
      </c>
      <c r="P65" s="29" t="n">
        <v>45992</v>
      </c>
      <c r="Q65" s="21" t="s">
        <v>1054</v>
      </c>
      <c r="R65" s="21"/>
      <c r="S65" s="19" t="n">
        <f aca="false">COUNTIFS(Calls!$A$2:$A$9999,$A65,Calls!$B$2:$B$9999,$B65)</f>
        <v>1</v>
      </c>
      <c r="T65" s="19" t="n">
        <f aca="false">COUNTIFS(Calls!$A$2:$A$9999,$A65,Calls!$B$2:$B$9999,$B65,Calls!$N$2:$N$9999,"Reached*")</f>
        <v>0</v>
      </c>
      <c r="U65" s="31" t="n">
        <f aca="false">COUNTIFS(Calls!$A$2:$A$9999,$A65,Calls!$B$2:$B$9999,$B65,Calls!$O$2:$O$9999,"Interested")+COUNTIFS(Calls!$A$2:$A$9999,$A65,Calls!$B$2:$B$9999,$B65,Calls!$O$2:$O$9999,"Meeting booked")+COUNTIFS(Calls!$A$2:$A$9999,$A65,Calls!$B$2:$B$9999,$B65,Calls!$O$2:$O$9999,"Quote requested")</f>
        <v>0</v>
      </c>
      <c r="V65" s="21"/>
    </row>
    <row r="66" customFormat="false" ht="23.85" hidden="false" customHeight="false" outlineLevel="0" collapsed="false">
      <c r="A66" s="18" t="s">
        <v>1064</v>
      </c>
      <c r="B66" s="19" t="n">
        <v>1</v>
      </c>
      <c r="C66" s="18" t="s">
        <v>1068</v>
      </c>
      <c r="D66" s="22" t="s">
        <v>1067</v>
      </c>
      <c r="E66" s="18" t="s">
        <v>477</v>
      </c>
      <c r="F66" s="21" t="s">
        <v>1070</v>
      </c>
      <c r="G66" s="18" t="s">
        <v>1644</v>
      </c>
      <c r="H66" s="18" t="s">
        <v>42</v>
      </c>
      <c r="I66" s="29" t="n">
        <v>45819</v>
      </c>
      <c r="J66" s="29"/>
      <c r="K66" s="24" t="n">
        <v>150000</v>
      </c>
      <c r="L66" s="21" t="s">
        <v>149</v>
      </c>
      <c r="M66" s="18" t="s">
        <v>1546</v>
      </c>
      <c r="N66" s="21" t="s">
        <v>1645</v>
      </c>
      <c r="O66" s="21" t="s">
        <v>1071</v>
      </c>
      <c r="P66" s="29" t="n">
        <v>45825</v>
      </c>
      <c r="Q66" s="21" t="s">
        <v>1065</v>
      </c>
      <c r="R66" s="21" t="s">
        <v>1072</v>
      </c>
      <c r="S66" s="19" t="n">
        <f aca="false">COUNTIFS(Calls!$A$2:$A$9999,$A66,Calls!$B$2:$B$9999,$B66)</f>
        <v>2</v>
      </c>
      <c r="T66" s="19" t="n">
        <f aca="false">COUNTIFS(Calls!$A$2:$A$9999,$A66,Calls!$B$2:$B$9999,$B66,Calls!$N$2:$N$9999,"Reached*")</f>
        <v>0</v>
      </c>
      <c r="U66" s="31" t="n">
        <f aca="false">COUNTIFS(Calls!$A$2:$A$9999,$A66,Calls!$B$2:$B$9999,$B66,Calls!$O$2:$O$9999,"Interested")+COUNTIFS(Calls!$A$2:$A$9999,$A66,Calls!$B$2:$B$9999,$B66,Calls!$O$2:$O$9999,"Meeting booked")+COUNTIFS(Calls!$A$2:$A$9999,$A66,Calls!$B$2:$B$9999,$B66,Calls!$O$2:$O$9999,"Quote requested")</f>
        <v>0</v>
      </c>
      <c r="V66" s="21"/>
    </row>
    <row r="67" customFormat="false" ht="15" hidden="false" customHeight="false" outlineLevel="0" collapsed="false">
      <c r="A67" s="18" t="s">
        <v>1076</v>
      </c>
      <c r="B67" s="19" t="n">
        <v>1</v>
      </c>
      <c r="C67" s="18" t="s">
        <v>1080</v>
      </c>
      <c r="D67" s="22" t="s">
        <v>181</v>
      </c>
      <c r="E67" s="18" t="s">
        <v>460</v>
      </c>
      <c r="F67" s="21" t="s">
        <v>1081</v>
      </c>
      <c r="G67" s="18" t="s">
        <v>1646</v>
      </c>
      <c r="H67" s="18" t="s">
        <v>43</v>
      </c>
      <c r="I67" s="29"/>
      <c r="J67" s="29" t="n">
        <v>45825</v>
      </c>
      <c r="K67" s="24" t="n">
        <v>50000</v>
      </c>
      <c r="L67" s="21" t="s">
        <v>149</v>
      </c>
      <c r="M67" s="18" t="s">
        <v>1546</v>
      </c>
      <c r="N67" s="21" t="s">
        <v>1549</v>
      </c>
      <c r="O67" s="21" t="s">
        <v>1083</v>
      </c>
      <c r="P67" s="29" t="n">
        <v>45825</v>
      </c>
      <c r="Q67" s="21" t="s">
        <v>1077</v>
      </c>
      <c r="R67" s="21" t="s">
        <v>1084</v>
      </c>
      <c r="S67" s="19" t="n">
        <f aca="false">COUNTIFS(Calls!$A$2:$A$9999,$A67,Calls!$B$2:$B$9999,$B67)</f>
        <v>2</v>
      </c>
      <c r="T67" s="19" t="n">
        <f aca="false">COUNTIFS(Calls!$A$2:$A$9999,$A67,Calls!$B$2:$B$9999,$B67,Calls!$N$2:$N$9999,"Reached*")</f>
        <v>0</v>
      </c>
      <c r="U67" s="31" t="n">
        <f aca="false">COUNTIFS(Calls!$A$2:$A$9999,$A67,Calls!$B$2:$B$9999,$B67,Calls!$O$2:$O$9999,"Interested")+COUNTIFS(Calls!$A$2:$A$9999,$A67,Calls!$B$2:$B$9999,$B67,Calls!$O$2:$O$9999,"Meeting booked")+COUNTIFS(Calls!$A$2:$A$9999,$A67,Calls!$B$2:$B$9999,$B67,Calls!$O$2:$O$9999,"Quote requested")</f>
        <v>0</v>
      </c>
      <c r="V67" s="21"/>
    </row>
    <row r="68" customFormat="false" ht="23.85" hidden="false" customHeight="false" outlineLevel="0" collapsed="false">
      <c r="A68" s="18" t="s">
        <v>1089</v>
      </c>
      <c r="B68" s="19" t="n">
        <v>1</v>
      </c>
      <c r="C68" s="18" t="s">
        <v>1095</v>
      </c>
      <c r="D68" s="22" t="s">
        <v>1093</v>
      </c>
      <c r="E68" s="18" t="s">
        <v>1094</v>
      </c>
      <c r="F68" s="21" t="s">
        <v>1097</v>
      </c>
      <c r="G68" s="18" t="s">
        <v>1647</v>
      </c>
      <c r="H68" s="18" t="s">
        <v>43</v>
      </c>
      <c r="I68" s="29"/>
      <c r="J68" s="29" t="n">
        <v>45825</v>
      </c>
      <c r="K68" s="24" t="n">
        <v>120000</v>
      </c>
      <c r="L68" s="21" t="s">
        <v>149</v>
      </c>
      <c r="M68" s="18" t="s">
        <v>1546</v>
      </c>
      <c r="N68" s="21" t="s">
        <v>1648</v>
      </c>
      <c r="O68" s="21" t="s">
        <v>1098</v>
      </c>
      <c r="P68" s="29" t="n">
        <v>45825</v>
      </c>
      <c r="Q68" s="21" t="s">
        <v>1090</v>
      </c>
      <c r="R68" s="21" t="s">
        <v>1099</v>
      </c>
      <c r="S68" s="19" t="n">
        <f aca="false">COUNTIFS(Calls!$A$2:$A$9999,$A68,Calls!$B$2:$B$9999,$B68)</f>
        <v>2</v>
      </c>
      <c r="T68" s="19" t="n">
        <f aca="false">COUNTIFS(Calls!$A$2:$A$9999,$A68,Calls!$B$2:$B$9999,$B68,Calls!$N$2:$N$9999,"Reached*")</f>
        <v>0</v>
      </c>
      <c r="U68" s="31" t="n">
        <f aca="false">COUNTIFS(Calls!$A$2:$A$9999,$A68,Calls!$B$2:$B$9999,$B68,Calls!$O$2:$O$9999,"Interested")+COUNTIFS(Calls!$A$2:$A$9999,$A68,Calls!$B$2:$B$9999,$B68,Calls!$O$2:$O$9999,"Meeting booked")+COUNTIFS(Calls!$A$2:$A$9999,$A68,Calls!$B$2:$B$9999,$B68,Calls!$O$2:$O$9999,"Quote requested")</f>
        <v>0</v>
      </c>
      <c r="V68" s="21"/>
    </row>
    <row r="69" customFormat="false" ht="15" hidden="false" customHeight="false" outlineLevel="0" collapsed="false">
      <c r="A69" s="18" t="s">
        <v>1104</v>
      </c>
      <c r="B69" s="19" t="n">
        <v>1</v>
      </c>
      <c r="C69" s="18" t="s">
        <v>1110</v>
      </c>
      <c r="D69" s="22" t="s">
        <v>1109</v>
      </c>
      <c r="E69" s="18" t="s">
        <v>569</v>
      </c>
      <c r="F69" s="21" t="s">
        <v>573</v>
      </c>
      <c r="G69" s="18" t="s">
        <v>1590</v>
      </c>
      <c r="H69" s="18" t="s">
        <v>43</v>
      </c>
      <c r="I69" s="29"/>
      <c r="J69" s="29" t="n">
        <v>45826</v>
      </c>
      <c r="K69" s="24" t="n">
        <v>50000</v>
      </c>
      <c r="L69" s="21" t="s">
        <v>149</v>
      </c>
      <c r="M69" s="18" t="s">
        <v>1546</v>
      </c>
      <c r="N69" s="21" t="s">
        <v>1549</v>
      </c>
      <c r="O69" s="21" t="s">
        <v>1113</v>
      </c>
      <c r="P69" s="29" t="n">
        <v>45826</v>
      </c>
      <c r="Q69" s="21" t="s">
        <v>1105</v>
      </c>
      <c r="R69" s="21" t="s">
        <v>168</v>
      </c>
      <c r="S69" s="19" t="n">
        <f aca="false">COUNTIFS(Calls!$A$2:$A$9999,$A69,Calls!$B$2:$B$9999,$B69)</f>
        <v>2</v>
      </c>
      <c r="T69" s="19" t="n">
        <f aca="false">COUNTIFS(Calls!$A$2:$A$9999,$A69,Calls!$B$2:$B$9999,$B69,Calls!$N$2:$N$9999,"Reached*")</f>
        <v>0</v>
      </c>
      <c r="U69" s="31" t="n">
        <f aca="false">COUNTIFS(Calls!$A$2:$A$9999,$A69,Calls!$B$2:$B$9999,$B69,Calls!$O$2:$O$9999,"Interested")+COUNTIFS(Calls!$A$2:$A$9999,$A69,Calls!$B$2:$B$9999,$B69,Calls!$O$2:$O$9999,"Meeting booked")+COUNTIFS(Calls!$A$2:$A$9999,$A69,Calls!$B$2:$B$9999,$B69,Calls!$O$2:$O$9999,"Quote requested")</f>
        <v>0</v>
      </c>
      <c r="V69" s="21"/>
    </row>
    <row r="70" customFormat="false" ht="15" hidden="false" customHeight="false" outlineLevel="0" collapsed="false">
      <c r="A70" s="18" t="s">
        <v>1115</v>
      </c>
      <c r="B70" s="19" t="n">
        <v>1</v>
      </c>
      <c r="C70" s="18" t="s">
        <v>1121</v>
      </c>
      <c r="D70" s="22" t="s">
        <v>1120</v>
      </c>
      <c r="E70" s="18" t="s">
        <v>182</v>
      </c>
      <c r="F70" s="21" t="s">
        <v>1124</v>
      </c>
      <c r="G70" s="18" t="s">
        <v>1649</v>
      </c>
      <c r="H70" s="18" t="s">
        <v>43</v>
      </c>
      <c r="I70" s="29"/>
      <c r="J70" s="29" t="n">
        <v>45827</v>
      </c>
      <c r="K70" s="24" t="n">
        <v>200000</v>
      </c>
      <c r="L70" s="21" t="s">
        <v>149</v>
      </c>
      <c r="M70" s="18" t="s">
        <v>1546</v>
      </c>
      <c r="N70" s="21" t="s">
        <v>1549</v>
      </c>
      <c r="O70" s="21" t="s">
        <v>1125</v>
      </c>
      <c r="P70" s="29" t="n">
        <v>45827</v>
      </c>
      <c r="Q70" s="21" t="s">
        <v>1116</v>
      </c>
      <c r="R70" s="21" t="s">
        <v>869</v>
      </c>
      <c r="S70" s="19" t="n">
        <f aca="false">COUNTIFS(Calls!$A$2:$A$9999,$A70,Calls!$B$2:$B$9999,$B70)</f>
        <v>2</v>
      </c>
      <c r="T70" s="19" t="n">
        <f aca="false">COUNTIFS(Calls!$A$2:$A$9999,$A70,Calls!$B$2:$B$9999,$B70,Calls!$N$2:$N$9999,"Reached*")</f>
        <v>0</v>
      </c>
      <c r="U70" s="31" t="n">
        <f aca="false">COUNTIFS(Calls!$A$2:$A$9999,$A70,Calls!$B$2:$B$9999,$B70,Calls!$O$2:$O$9999,"Interested")+COUNTIFS(Calls!$A$2:$A$9999,$A70,Calls!$B$2:$B$9999,$B70,Calls!$O$2:$O$9999,"Meeting booked")+COUNTIFS(Calls!$A$2:$A$9999,$A70,Calls!$B$2:$B$9999,$B70,Calls!$O$2:$O$9999,"Quote requested")</f>
        <v>0</v>
      </c>
      <c r="V70" s="21"/>
    </row>
    <row r="71" customFormat="false" ht="23.85" hidden="false" customHeight="false" outlineLevel="0" collapsed="false">
      <c r="A71" s="18" t="s">
        <v>1129</v>
      </c>
      <c r="B71" s="19" t="n">
        <v>1</v>
      </c>
      <c r="C71" s="18" t="s">
        <v>1133</v>
      </c>
      <c r="D71" s="22" t="s">
        <v>1120</v>
      </c>
      <c r="E71" s="18" t="s">
        <v>569</v>
      </c>
      <c r="F71" s="21" t="s">
        <v>1136</v>
      </c>
      <c r="G71" s="18" t="s">
        <v>1650</v>
      </c>
      <c r="H71" s="18" t="s">
        <v>43</v>
      </c>
      <c r="I71" s="29"/>
      <c r="J71" s="29" t="n">
        <v>45827</v>
      </c>
      <c r="K71" s="24" t="n">
        <v>200000</v>
      </c>
      <c r="L71" s="21" t="s">
        <v>149</v>
      </c>
      <c r="M71" s="18" t="s">
        <v>1546</v>
      </c>
      <c r="N71" s="21" t="s">
        <v>1549</v>
      </c>
      <c r="O71" s="21" t="s">
        <v>1137</v>
      </c>
      <c r="P71" s="29" t="n">
        <v>45827</v>
      </c>
      <c r="Q71" s="21" t="s">
        <v>1130</v>
      </c>
      <c r="R71" s="21" t="s">
        <v>1138</v>
      </c>
      <c r="S71" s="19" t="n">
        <f aca="false">COUNTIFS(Calls!$A$2:$A$9999,$A71,Calls!$B$2:$B$9999,$B71)</f>
        <v>2</v>
      </c>
      <c r="T71" s="19" t="n">
        <f aca="false">COUNTIFS(Calls!$A$2:$A$9999,$A71,Calls!$B$2:$B$9999,$B71,Calls!$N$2:$N$9999,"Reached*")</f>
        <v>0</v>
      </c>
      <c r="U71" s="31" t="n">
        <f aca="false">COUNTIFS(Calls!$A$2:$A$9999,$A71,Calls!$B$2:$B$9999,$B71,Calls!$O$2:$O$9999,"Interested")+COUNTIFS(Calls!$A$2:$A$9999,$A71,Calls!$B$2:$B$9999,$B71,Calls!$O$2:$O$9999,"Meeting booked")+COUNTIFS(Calls!$A$2:$A$9999,$A71,Calls!$B$2:$B$9999,$B71,Calls!$O$2:$O$9999,"Quote requested")</f>
        <v>0</v>
      </c>
      <c r="V71" s="21"/>
    </row>
    <row r="72" customFormat="false" ht="15" hidden="false" customHeight="false" outlineLevel="0" collapsed="false">
      <c r="A72" s="18" t="s">
        <v>1143</v>
      </c>
      <c r="B72" s="19" t="n">
        <v>1</v>
      </c>
      <c r="C72" s="18" t="s">
        <v>1147</v>
      </c>
      <c r="D72" s="22" t="s">
        <v>1146</v>
      </c>
      <c r="E72" s="18" t="s">
        <v>509</v>
      </c>
      <c r="F72" s="21" t="s">
        <v>909</v>
      </c>
      <c r="G72" s="18" t="s">
        <v>1651</v>
      </c>
      <c r="H72" s="18" t="s">
        <v>43</v>
      </c>
      <c r="I72" s="29"/>
      <c r="J72" s="29" t="n">
        <v>45827</v>
      </c>
      <c r="K72" s="24" t="n">
        <v>70000</v>
      </c>
      <c r="L72" s="21" t="s">
        <v>149</v>
      </c>
      <c r="M72" s="18" t="s">
        <v>1546</v>
      </c>
      <c r="N72" s="21" t="s">
        <v>1549</v>
      </c>
      <c r="O72" s="21" t="s">
        <v>1146</v>
      </c>
      <c r="P72" s="29" t="n">
        <v>45827</v>
      </c>
      <c r="Q72" s="21" t="s">
        <v>1144</v>
      </c>
      <c r="R72" s="21" t="s">
        <v>1149</v>
      </c>
      <c r="S72" s="19" t="n">
        <f aca="false">COUNTIFS(Calls!$A$2:$A$9999,$A72,Calls!$B$2:$B$9999,$B72)</f>
        <v>2</v>
      </c>
      <c r="T72" s="19" t="n">
        <f aca="false">COUNTIFS(Calls!$A$2:$A$9999,$A72,Calls!$B$2:$B$9999,$B72,Calls!$N$2:$N$9999,"Reached*")</f>
        <v>0</v>
      </c>
      <c r="U72" s="31" t="n">
        <f aca="false">COUNTIFS(Calls!$A$2:$A$9999,$A72,Calls!$B$2:$B$9999,$B72,Calls!$O$2:$O$9999,"Interested")+COUNTIFS(Calls!$A$2:$A$9999,$A72,Calls!$B$2:$B$9999,$B72,Calls!$O$2:$O$9999,"Meeting booked")+COUNTIFS(Calls!$A$2:$A$9999,$A72,Calls!$B$2:$B$9999,$B72,Calls!$O$2:$O$9999,"Quote requested")</f>
        <v>0</v>
      </c>
      <c r="V72" s="21"/>
    </row>
    <row r="73" customFormat="false" ht="23.85" hidden="false" customHeight="false" outlineLevel="0" collapsed="false">
      <c r="A73" s="18" t="s">
        <v>1150</v>
      </c>
      <c r="B73" s="19" t="n">
        <v>1</v>
      </c>
      <c r="C73" s="18" t="s">
        <v>1156</v>
      </c>
      <c r="D73" s="22" t="s">
        <v>1154</v>
      </c>
      <c r="E73" s="18" t="s">
        <v>1155</v>
      </c>
      <c r="F73" s="21" t="s">
        <v>1159</v>
      </c>
      <c r="G73" s="18" t="s">
        <v>1652</v>
      </c>
      <c r="H73" s="18" t="s">
        <v>43</v>
      </c>
      <c r="I73" s="29"/>
      <c r="J73" s="29" t="n">
        <v>45866</v>
      </c>
      <c r="K73" s="24" t="n">
        <v>50000</v>
      </c>
      <c r="L73" s="21" t="s">
        <v>149</v>
      </c>
      <c r="M73" s="18" t="s">
        <v>1546</v>
      </c>
      <c r="N73" s="21" t="s">
        <v>1549</v>
      </c>
      <c r="O73" s="21" t="s">
        <v>1154</v>
      </c>
      <c r="P73" s="29" t="n">
        <v>45866</v>
      </c>
      <c r="Q73" s="21" t="s">
        <v>1151</v>
      </c>
      <c r="R73" s="21" t="s">
        <v>829</v>
      </c>
      <c r="S73" s="19" t="n">
        <f aca="false">COUNTIFS(Calls!$A$2:$A$9999,$A73,Calls!$B$2:$B$9999,$B73)</f>
        <v>2</v>
      </c>
      <c r="T73" s="19" t="n">
        <f aca="false">COUNTIFS(Calls!$A$2:$A$9999,$A73,Calls!$B$2:$B$9999,$B73,Calls!$N$2:$N$9999,"Reached*")</f>
        <v>0</v>
      </c>
      <c r="U73" s="31" t="n">
        <f aca="false">COUNTIFS(Calls!$A$2:$A$9999,$A73,Calls!$B$2:$B$9999,$B73,Calls!$O$2:$O$9999,"Interested")+COUNTIFS(Calls!$A$2:$A$9999,$A73,Calls!$B$2:$B$9999,$B73,Calls!$O$2:$O$9999,"Meeting booked")+COUNTIFS(Calls!$A$2:$A$9999,$A73,Calls!$B$2:$B$9999,$B73,Calls!$O$2:$O$9999,"Quote requested")</f>
        <v>0</v>
      </c>
      <c r="V73" s="21"/>
    </row>
    <row r="74" customFormat="false" ht="23.85" hidden="false" customHeight="false" outlineLevel="0" collapsed="false">
      <c r="A74" s="18" t="s">
        <v>1160</v>
      </c>
      <c r="B74" s="19" t="n">
        <v>1</v>
      </c>
      <c r="C74" s="18" t="s">
        <v>510</v>
      </c>
      <c r="D74" s="22" t="s">
        <v>508</v>
      </c>
      <c r="E74" s="18" t="s">
        <v>509</v>
      </c>
      <c r="F74" s="21" t="s">
        <v>513</v>
      </c>
      <c r="G74" s="18" t="s">
        <v>1585</v>
      </c>
      <c r="H74" s="18" t="s">
        <v>42</v>
      </c>
      <c r="I74" s="29" t="n">
        <v>45861</v>
      </c>
      <c r="J74" s="29"/>
      <c r="K74" s="24" t="n">
        <v>50000</v>
      </c>
      <c r="L74" s="21" t="s">
        <v>149</v>
      </c>
      <c r="M74" s="18" t="s">
        <v>1546</v>
      </c>
      <c r="N74" s="21" t="s">
        <v>1549</v>
      </c>
      <c r="O74" s="21" t="s">
        <v>514</v>
      </c>
      <c r="P74" s="29" t="n">
        <v>45868</v>
      </c>
      <c r="Q74" s="21" t="s">
        <v>504</v>
      </c>
      <c r="R74" s="21" t="s">
        <v>516</v>
      </c>
      <c r="S74" s="19" t="n">
        <f aca="false">COUNTIFS(Calls!$A$2:$A$9999,$A74,Calls!$B$2:$B$9999,$B74)</f>
        <v>2</v>
      </c>
      <c r="T74" s="19" t="n">
        <f aca="false">COUNTIFS(Calls!$A$2:$A$9999,$A74,Calls!$B$2:$B$9999,$B74,Calls!$N$2:$N$9999,"Reached*")</f>
        <v>0</v>
      </c>
      <c r="U74" s="31" t="n">
        <f aca="false">COUNTIFS(Calls!$A$2:$A$9999,$A74,Calls!$B$2:$B$9999,$B74,Calls!$O$2:$O$9999,"Interested")+COUNTIFS(Calls!$A$2:$A$9999,$A74,Calls!$B$2:$B$9999,$B74,Calls!$O$2:$O$9999,"Meeting booked")+COUNTIFS(Calls!$A$2:$A$9999,$A74,Calls!$B$2:$B$9999,$B74,Calls!$O$2:$O$9999,"Quote requested")</f>
        <v>0</v>
      </c>
      <c r="V74" s="21" t="s">
        <v>1161</v>
      </c>
    </row>
    <row r="75" customFormat="false" ht="57.45" hidden="false" customHeight="false" outlineLevel="0" collapsed="false">
      <c r="A75" s="18" t="s">
        <v>1160</v>
      </c>
      <c r="B75" s="19" t="n">
        <v>2</v>
      </c>
      <c r="C75" s="18" t="s">
        <v>370</v>
      </c>
      <c r="D75" s="22" t="s">
        <v>368</v>
      </c>
      <c r="E75" s="18" t="s">
        <v>369</v>
      </c>
      <c r="F75" s="21" t="s">
        <v>373</v>
      </c>
      <c r="G75" s="18" t="s">
        <v>1572</v>
      </c>
      <c r="H75" s="18" t="s">
        <v>43</v>
      </c>
      <c r="I75" s="29" t="n">
        <v>45127</v>
      </c>
      <c r="J75" s="29" t="n">
        <v>45251</v>
      </c>
      <c r="K75" s="24" t="n">
        <v>12000000</v>
      </c>
      <c r="L75" s="21" t="s">
        <v>254</v>
      </c>
      <c r="M75" s="18"/>
      <c r="N75" s="21" t="s">
        <v>1573</v>
      </c>
      <c r="O75" s="21" t="s">
        <v>374</v>
      </c>
      <c r="P75" s="29" t="n">
        <v>45257</v>
      </c>
      <c r="Q75" s="21" t="s">
        <v>1574</v>
      </c>
      <c r="R75" s="21"/>
      <c r="S75" s="19" t="n">
        <f aca="false">COUNTIFS(Calls!$A$2:$A$9999,$A75,Calls!$B$2:$B$9999,$B75)</f>
        <v>4</v>
      </c>
      <c r="T75" s="19" t="n">
        <f aca="false">COUNTIFS(Calls!$A$2:$A$9999,$A75,Calls!$B$2:$B$9999,$B75,Calls!$N$2:$N$9999,"Reached*")</f>
        <v>0</v>
      </c>
      <c r="U75" s="31" t="n">
        <f aca="false">COUNTIFS(Calls!$A$2:$A$9999,$A75,Calls!$B$2:$B$9999,$B75,Calls!$O$2:$O$9999,"Interested")+COUNTIFS(Calls!$A$2:$A$9999,$A75,Calls!$B$2:$B$9999,$B75,Calls!$O$2:$O$9999,"Meeting booked")+COUNTIFS(Calls!$A$2:$A$9999,$A75,Calls!$B$2:$B$9999,$B75,Calls!$O$2:$O$9999,"Quote requested")</f>
        <v>0</v>
      </c>
      <c r="V75" s="21" t="s">
        <v>1162</v>
      </c>
    </row>
    <row r="76" customFormat="false" ht="23.85" hidden="false" customHeight="false" outlineLevel="0" collapsed="false">
      <c r="A76" s="18" t="s">
        <v>1163</v>
      </c>
      <c r="B76" s="19" t="n">
        <v>1</v>
      </c>
      <c r="C76" s="18" t="s">
        <v>1166</v>
      </c>
      <c r="D76" s="22" t="s">
        <v>526</v>
      </c>
      <c r="E76" s="18" t="s">
        <v>182</v>
      </c>
      <c r="F76" s="21" t="s">
        <v>1168</v>
      </c>
      <c r="G76" s="18" t="s">
        <v>1653</v>
      </c>
      <c r="H76" s="18" t="s">
        <v>43</v>
      </c>
      <c r="I76" s="29" t="n">
        <v>45832</v>
      </c>
      <c r="J76" s="29" t="n">
        <v>45868</v>
      </c>
      <c r="K76" s="24" t="n">
        <v>500000</v>
      </c>
      <c r="L76" s="21" t="s">
        <v>149</v>
      </c>
      <c r="M76" s="18"/>
      <c r="N76" s="21" t="s">
        <v>1549</v>
      </c>
      <c r="O76" s="21" t="s">
        <v>1169</v>
      </c>
      <c r="P76" s="29" t="n">
        <v>45869</v>
      </c>
      <c r="Q76" s="21" t="s">
        <v>1164</v>
      </c>
      <c r="R76" s="21" t="s">
        <v>1170</v>
      </c>
      <c r="S76" s="19" t="n">
        <f aca="false">COUNTIFS(Calls!$A$2:$A$9999,$A76,Calls!$B$2:$B$9999,$B76)</f>
        <v>2</v>
      </c>
      <c r="T76" s="19" t="n">
        <f aca="false">COUNTIFS(Calls!$A$2:$A$9999,$A76,Calls!$B$2:$B$9999,$B76,Calls!$N$2:$N$9999,"Reached*")</f>
        <v>0</v>
      </c>
      <c r="U76" s="31" t="n">
        <f aca="false">COUNTIFS(Calls!$A$2:$A$9999,$A76,Calls!$B$2:$B$9999,$B76,Calls!$O$2:$O$9999,"Interested")+COUNTIFS(Calls!$A$2:$A$9999,$A76,Calls!$B$2:$B$9999,$B76,Calls!$O$2:$O$9999,"Meeting booked")+COUNTIFS(Calls!$A$2:$A$9999,$A76,Calls!$B$2:$B$9999,$B76,Calls!$O$2:$O$9999,"Quote requested")</f>
        <v>0</v>
      </c>
      <c r="V76" s="21"/>
    </row>
    <row r="77" customFormat="false" ht="23.85" hidden="false" customHeight="false" outlineLevel="0" collapsed="false">
      <c r="A77" s="18" t="s">
        <v>1163</v>
      </c>
      <c r="B77" s="19" t="n">
        <v>2</v>
      </c>
      <c r="C77" s="18" t="s">
        <v>1177</v>
      </c>
      <c r="D77" s="22" t="s">
        <v>1176</v>
      </c>
      <c r="E77" s="18" t="s">
        <v>143</v>
      </c>
      <c r="F77" s="21" t="s">
        <v>389</v>
      </c>
      <c r="G77" s="18" t="s">
        <v>1575</v>
      </c>
      <c r="H77" s="18" t="s">
        <v>43</v>
      </c>
      <c r="I77" s="29"/>
      <c r="J77" s="29" t="n">
        <v>45869</v>
      </c>
      <c r="K77" s="24" t="n">
        <v>150000</v>
      </c>
      <c r="L77" s="21" t="s">
        <v>149</v>
      </c>
      <c r="M77" s="18" t="s">
        <v>1546</v>
      </c>
      <c r="N77" s="21" t="s">
        <v>1587</v>
      </c>
      <c r="O77" s="21" t="s">
        <v>1178</v>
      </c>
      <c r="P77" s="29" t="n">
        <v>45869</v>
      </c>
      <c r="Q77" s="21" t="s">
        <v>385</v>
      </c>
      <c r="R77" s="21" t="s">
        <v>391</v>
      </c>
      <c r="S77" s="19" t="n">
        <f aca="false">COUNTIFS(Calls!$A$2:$A$9999,$A77,Calls!$B$2:$B$9999,$B77)</f>
        <v>2</v>
      </c>
      <c r="T77" s="19" t="n">
        <f aca="false">COUNTIFS(Calls!$A$2:$A$9999,$A77,Calls!$B$2:$B$9999,$B77,Calls!$N$2:$N$9999,"Reached*")</f>
        <v>0</v>
      </c>
      <c r="U77" s="31" t="n">
        <f aca="false">COUNTIFS(Calls!$A$2:$A$9999,$A77,Calls!$B$2:$B$9999,$B77,Calls!$O$2:$O$9999,"Interested")+COUNTIFS(Calls!$A$2:$A$9999,$A77,Calls!$B$2:$B$9999,$B77,Calls!$O$2:$O$9999,"Meeting booked")+COUNTIFS(Calls!$A$2:$A$9999,$A77,Calls!$B$2:$B$9999,$B77,Calls!$O$2:$O$9999,"Quote requested")</f>
        <v>0</v>
      </c>
      <c r="V77" s="21"/>
    </row>
    <row r="78" customFormat="false" ht="23.85" hidden="false" customHeight="false" outlineLevel="0" collapsed="false">
      <c r="A78" s="18" t="s">
        <v>1163</v>
      </c>
      <c r="B78" s="19" t="n">
        <v>3</v>
      </c>
      <c r="C78" s="18" t="s">
        <v>1183</v>
      </c>
      <c r="D78" s="22" t="s">
        <v>1182</v>
      </c>
      <c r="E78" s="18" t="s">
        <v>1094</v>
      </c>
      <c r="F78" s="21" t="s">
        <v>1186</v>
      </c>
      <c r="G78" s="18" t="s">
        <v>1654</v>
      </c>
      <c r="H78" s="18" t="s">
        <v>42</v>
      </c>
      <c r="I78" s="29" t="n">
        <v>45867</v>
      </c>
      <c r="J78" s="29"/>
      <c r="K78" s="24" t="n">
        <v>100000</v>
      </c>
      <c r="L78" s="21" t="s">
        <v>229</v>
      </c>
      <c r="M78" s="18"/>
      <c r="N78" s="21" t="s">
        <v>1655</v>
      </c>
      <c r="O78" s="21" t="s">
        <v>1187</v>
      </c>
      <c r="P78" s="29" t="n">
        <v>45869</v>
      </c>
      <c r="Q78" s="21" t="s">
        <v>1179</v>
      </c>
      <c r="R78" s="21" t="s">
        <v>1188</v>
      </c>
      <c r="S78" s="19" t="n">
        <f aca="false">COUNTIFS(Calls!$A$2:$A$9999,$A78,Calls!$B$2:$B$9999,$B78)</f>
        <v>2</v>
      </c>
      <c r="T78" s="19" t="n">
        <f aca="false">COUNTIFS(Calls!$A$2:$A$9999,$A78,Calls!$B$2:$B$9999,$B78,Calls!$N$2:$N$9999,"Reached*")</f>
        <v>0</v>
      </c>
      <c r="U78" s="31" t="n">
        <f aca="false">COUNTIFS(Calls!$A$2:$A$9999,$A78,Calls!$B$2:$B$9999,$B78,Calls!$O$2:$O$9999,"Interested")+COUNTIFS(Calls!$A$2:$A$9999,$A78,Calls!$B$2:$B$9999,$B78,Calls!$O$2:$O$9999,"Meeting booked")+COUNTIFS(Calls!$A$2:$A$9999,$A78,Calls!$B$2:$B$9999,$B78,Calls!$O$2:$O$9999,"Quote requested")</f>
        <v>0</v>
      </c>
      <c r="V78" s="21"/>
    </row>
    <row r="79" customFormat="false" ht="15" hidden="false" customHeight="false" outlineLevel="0" collapsed="false">
      <c r="A79" s="18" t="s">
        <v>1194</v>
      </c>
      <c r="B79" s="19" t="n">
        <v>1</v>
      </c>
      <c r="C79" s="18" t="s">
        <v>1199</v>
      </c>
      <c r="D79" s="22" t="s">
        <v>1198</v>
      </c>
      <c r="E79" s="18" t="s">
        <v>569</v>
      </c>
      <c r="F79" s="21" t="s">
        <v>1200</v>
      </c>
      <c r="G79" s="18" t="s">
        <v>1656</v>
      </c>
      <c r="H79" s="18" t="s">
        <v>43</v>
      </c>
      <c r="I79" s="29"/>
      <c r="J79" s="29" t="n">
        <v>46056</v>
      </c>
      <c r="K79" s="24" t="n">
        <v>100000</v>
      </c>
      <c r="L79" s="21" t="s">
        <v>149</v>
      </c>
      <c r="M79" s="18" t="s">
        <v>1546</v>
      </c>
      <c r="N79" s="21" t="s">
        <v>1549</v>
      </c>
      <c r="O79" s="21" t="s">
        <v>1202</v>
      </c>
      <c r="P79" s="29" t="n">
        <v>46056</v>
      </c>
      <c r="Q79" s="21" t="s">
        <v>1195</v>
      </c>
      <c r="R79" s="21" t="s">
        <v>1203</v>
      </c>
      <c r="S79" s="19" t="n">
        <f aca="false">COUNTIFS(Calls!$A$2:$A$9999,$A79,Calls!$B$2:$B$9999,$B79)</f>
        <v>2</v>
      </c>
      <c r="T79" s="19" t="n">
        <f aca="false">COUNTIFS(Calls!$A$2:$A$9999,$A79,Calls!$B$2:$B$9999,$B79,Calls!$N$2:$N$9999,"Reached*")</f>
        <v>0</v>
      </c>
      <c r="U79" s="31" t="n">
        <f aca="false">COUNTIFS(Calls!$A$2:$A$9999,$A79,Calls!$B$2:$B$9999,$B79,Calls!$O$2:$O$9999,"Interested")+COUNTIFS(Calls!$A$2:$A$9999,$A79,Calls!$B$2:$B$9999,$B79,Calls!$O$2:$O$9999,"Meeting booked")+COUNTIFS(Calls!$A$2:$A$9999,$A79,Calls!$B$2:$B$9999,$B79,Calls!$O$2:$O$9999,"Quote requested")</f>
        <v>0</v>
      </c>
      <c r="V79" s="21"/>
    </row>
    <row r="80" customFormat="false" ht="23.85" hidden="false" customHeight="false" outlineLevel="0" collapsed="false">
      <c r="A80" s="18" t="s">
        <v>1209</v>
      </c>
      <c r="B80" s="19" t="n">
        <v>1</v>
      </c>
      <c r="C80" s="18" t="s">
        <v>1211</v>
      </c>
      <c r="D80" s="22" t="s">
        <v>1210</v>
      </c>
      <c r="E80" s="18" t="s">
        <v>569</v>
      </c>
      <c r="F80" s="21" t="s">
        <v>1212</v>
      </c>
      <c r="G80" s="18" t="s">
        <v>1657</v>
      </c>
      <c r="H80" s="18" t="s">
        <v>43</v>
      </c>
      <c r="I80" s="29"/>
      <c r="J80" s="29" t="n">
        <v>45873</v>
      </c>
      <c r="K80" s="24" t="n">
        <v>80000</v>
      </c>
      <c r="L80" s="21" t="s">
        <v>254</v>
      </c>
      <c r="M80" s="18" t="s">
        <v>1546</v>
      </c>
      <c r="N80" s="21" t="s">
        <v>1658</v>
      </c>
      <c r="O80" s="21" t="s">
        <v>1213</v>
      </c>
      <c r="P80" s="29" t="n">
        <v>45873</v>
      </c>
      <c r="Q80" s="21" t="s">
        <v>398</v>
      </c>
      <c r="R80" s="21" t="s">
        <v>1214</v>
      </c>
      <c r="S80" s="19" t="n">
        <f aca="false">COUNTIFS(Calls!$A$2:$A$9999,$A80,Calls!$B$2:$B$9999,$B80)</f>
        <v>2</v>
      </c>
      <c r="T80" s="19" t="n">
        <f aca="false">COUNTIFS(Calls!$A$2:$A$9999,$A80,Calls!$B$2:$B$9999,$B80,Calls!$N$2:$N$9999,"Reached*")</f>
        <v>0</v>
      </c>
      <c r="U80" s="31" t="n">
        <f aca="false">COUNTIFS(Calls!$A$2:$A$9999,$A80,Calls!$B$2:$B$9999,$B80,Calls!$O$2:$O$9999,"Interested")+COUNTIFS(Calls!$A$2:$A$9999,$A80,Calls!$B$2:$B$9999,$B80,Calls!$O$2:$O$9999,"Meeting booked")+COUNTIFS(Calls!$A$2:$A$9999,$A80,Calls!$B$2:$B$9999,$B80,Calls!$O$2:$O$9999,"Quote requested")</f>
        <v>0</v>
      </c>
      <c r="V80" s="21"/>
    </row>
    <row r="81" customFormat="false" ht="23.85" hidden="false" customHeight="false" outlineLevel="0" collapsed="false">
      <c r="A81" s="18" t="s">
        <v>1209</v>
      </c>
      <c r="B81" s="19" t="n">
        <v>2</v>
      </c>
      <c r="C81" s="18" t="s">
        <v>1225</v>
      </c>
      <c r="D81" s="22" t="s">
        <v>1224</v>
      </c>
      <c r="E81" s="18" t="s">
        <v>161</v>
      </c>
      <c r="F81" s="21" t="s">
        <v>166</v>
      </c>
      <c r="G81" s="18" t="s">
        <v>1548</v>
      </c>
      <c r="H81" s="18" t="s">
        <v>43</v>
      </c>
      <c r="I81" s="29"/>
      <c r="J81" s="29" t="n">
        <v>45873</v>
      </c>
      <c r="K81" s="24" t="n">
        <v>200000</v>
      </c>
      <c r="L81" s="21" t="s">
        <v>149</v>
      </c>
      <c r="M81" s="18" t="s">
        <v>1546</v>
      </c>
      <c r="N81" s="21" t="s">
        <v>1549</v>
      </c>
      <c r="O81" s="21" t="s">
        <v>1227</v>
      </c>
      <c r="P81" s="29" t="n">
        <v>45873</v>
      </c>
      <c r="Q81" s="21" t="s">
        <v>1220</v>
      </c>
      <c r="R81" s="21" t="s">
        <v>1228</v>
      </c>
      <c r="S81" s="19" t="n">
        <f aca="false">COUNTIFS(Calls!$A$2:$A$9999,$A81,Calls!$B$2:$B$9999,$B81)</f>
        <v>2</v>
      </c>
      <c r="T81" s="19" t="n">
        <f aca="false">COUNTIFS(Calls!$A$2:$A$9999,$A81,Calls!$B$2:$B$9999,$B81,Calls!$N$2:$N$9999,"Reached*")</f>
        <v>0</v>
      </c>
      <c r="U81" s="31" t="n">
        <f aca="false">COUNTIFS(Calls!$A$2:$A$9999,$A81,Calls!$B$2:$B$9999,$B81,Calls!$O$2:$O$9999,"Interested")+COUNTIFS(Calls!$A$2:$A$9999,$A81,Calls!$B$2:$B$9999,$B81,Calls!$O$2:$O$9999,"Meeting booked")+COUNTIFS(Calls!$A$2:$A$9999,$A81,Calls!$B$2:$B$9999,$B81,Calls!$O$2:$O$9999,"Quote requested")</f>
        <v>0</v>
      </c>
      <c r="V81" s="21"/>
    </row>
    <row r="82" customFormat="false" ht="46.25" hidden="false" customHeight="false" outlineLevel="0" collapsed="false">
      <c r="A82" s="18" t="s">
        <v>1209</v>
      </c>
      <c r="B82" s="19" t="n">
        <v>3</v>
      </c>
      <c r="C82" s="18" t="s">
        <v>1238</v>
      </c>
      <c r="D82" s="22" t="s">
        <v>1237</v>
      </c>
      <c r="E82" s="18" t="s">
        <v>460</v>
      </c>
      <c r="F82" s="21" t="s">
        <v>1241</v>
      </c>
      <c r="G82" s="18" t="s">
        <v>1659</v>
      </c>
      <c r="H82" s="18" t="s">
        <v>43</v>
      </c>
      <c r="I82" s="29" t="n">
        <v>45042</v>
      </c>
      <c r="J82" s="29" t="n">
        <v>45831</v>
      </c>
      <c r="K82" s="24" t="n">
        <v>20000000</v>
      </c>
      <c r="L82" s="21" t="s">
        <v>254</v>
      </c>
      <c r="M82" s="18"/>
      <c r="N82" s="21" t="s">
        <v>1660</v>
      </c>
      <c r="O82" s="21" t="s">
        <v>1242</v>
      </c>
      <c r="P82" s="29" t="n">
        <v>45831</v>
      </c>
      <c r="Q82" s="21" t="s">
        <v>1234</v>
      </c>
      <c r="R82" s="21" t="s">
        <v>1245</v>
      </c>
      <c r="S82" s="19" t="n">
        <f aca="false">COUNTIFS(Calls!$A$2:$A$9999,$A82,Calls!$B$2:$B$9999,$B82)</f>
        <v>3</v>
      </c>
      <c r="T82" s="19" t="n">
        <f aca="false">COUNTIFS(Calls!$A$2:$A$9999,$A82,Calls!$B$2:$B$9999,$B82,Calls!$N$2:$N$9999,"Reached*")</f>
        <v>0</v>
      </c>
      <c r="U82" s="31" t="n">
        <f aca="false">COUNTIFS(Calls!$A$2:$A$9999,$A82,Calls!$B$2:$B$9999,$B82,Calls!$O$2:$O$9999,"Interested")+COUNTIFS(Calls!$A$2:$A$9999,$A82,Calls!$B$2:$B$9999,$B82,Calls!$O$2:$O$9999,"Meeting booked")+COUNTIFS(Calls!$A$2:$A$9999,$A82,Calls!$B$2:$B$9999,$B82,Calls!$O$2:$O$9999,"Quote requested")</f>
        <v>0</v>
      </c>
      <c r="V82" s="21"/>
    </row>
    <row r="83" customFormat="false" ht="23.85" hidden="false" customHeight="false" outlineLevel="0" collapsed="false">
      <c r="A83" s="18" t="s">
        <v>1209</v>
      </c>
      <c r="B83" s="19" t="n">
        <v>4</v>
      </c>
      <c r="C83" s="18" t="s">
        <v>1252</v>
      </c>
      <c r="D83" s="22" t="s">
        <v>1251</v>
      </c>
      <c r="E83" s="18" t="s">
        <v>552</v>
      </c>
      <c r="F83" s="21" t="s">
        <v>1253</v>
      </c>
      <c r="G83" s="18" t="s">
        <v>1661</v>
      </c>
      <c r="H83" s="18" t="s">
        <v>43</v>
      </c>
      <c r="I83" s="29"/>
      <c r="J83" s="29" t="n">
        <v>45873</v>
      </c>
      <c r="K83" s="24" t="n">
        <v>70000</v>
      </c>
      <c r="L83" s="21" t="s">
        <v>254</v>
      </c>
      <c r="M83" s="18" t="s">
        <v>1546</v>
      </c>
      <c r="N83" s="21" t="s">
        <v>1658</v>
      </c>
      <c r="O83" s="21" t="s">
        <v>1254</v>
      </c>
      <c r="P83" s="29" t="n">
        <v>45873</v>
      </c>
      <c r="Q83" s="21" t="s">
        <v>547</v>
      </c>
      <c r="R83" s="21" t="s">
        <v>558</v>
      </c>
      <c r="S83" s="19" t="n">
        <f aca="false">COUNTIFS(Calls!$A$2:$A$9999,$A83,Calls!$B$2:$B$9999,$B83)</f>
        <v>2</v>
      </c>
      <c r="T83" s="19" t="n">
        <f aca="false">COUNTIFS(Calls!$A$2:$A$9999,$A83,Calls!$B$2:$B$9999,$B83,Calls!$N$2:$N$9999,"Reached*")</f>
        <v>0</v>
      </c>
      <c r="U83" s="31" t="n">
        <f aca="false">COUNTIFS(Calls!$A$2:$A$9999,$A83,Calls!$B$2:$B$9999,$B83,Calls!$O$2:$O$9999,"Interested")+COUNTIFS(Calls!$A$2:$A$9999,$A83,Calls!$B$2:$B$9999,$B83,Calls!$O$2:$O$9999,"Meeting booked")+COUNTIFS(Calls!$A$2:$A$9999,$A83,Calls!$B$2:$B$9999,$B83,Calls!$O$2:$O$9999,"Quote requested")</f>
        <v>0</v>
      </c>
      <c r="V83" s="21"/>
    </row>
    <row r="84" customFormat="false" ht="23.85" hidden="false" customHeight="false" outlineLevel="0" collapsed="false">
      <c r="A84" s="18" t="s">
        <v>1255</v>
      </c>
      <c r="B84" s="19" t="n">
        <v>1</v>
      </c>
      <c r="C84" s="18" t="s">
        <v>1260</v>
      </c>
      <c r="D84" s="22" t="s">
        <v>961</v>
      </c>
      <c r="E84" s="18" t="s">
        <v>569</v>
      </c>
      <c r="F84" s="21" t="s">
        <v>1263</v>
      </c>
      <c r="G84" s="18" t="s">
        <v>1662</v>
      </c>
      <c r="H84" s="18" t="s">
        <v>43</v>
      </c>
      <c r="I84" s="29"/>
      <c r="J84" s="29" t="n">
        <v>45875</v>
      </c>
      <c r="K84" s="24" t="n">
        <v>50000</v>
      </c>
      <c r="L84" s="21" t="s">
        <v>149</v>
      </c>
      <c r="M84" s="18" t="s">
        <v>1546</v>
      </c>
      <c r="N84" s="21" t="s">
        <v>1549</v>
      </c>
      <c r="O84" s="21" t="s">
        <v>1264</v>
      </c>
      <c r="P84" s="29" t="n">
        <v>45875</v>
      </c>
      <c r="Q84" s="21" t="s">
        <v>1256</v>
      </c>
      <c r="R84" s="21" t="s">
        <v>1265</v>
      </c>
      <c r="S84" s="19" t="n">
        <f aca="false">COUNTIFS(Calls!$A$2:$A$9999,$A84,Calls!$B$2:$B$9999,$B84)</f>
        <v>2</v>
      </c>
      <c r="T84" s="19" t="n">
        <f aca="false">COUNTIFS(Calls!$A$2:$A$9999,$A84,Calls!$B$2:$B$9999,$B84,Calls!$N$2:$N$9999,"Reached*")</f>
        <v>0</v>
      </c>
      <c r="U84" s="31" t="n">
        <f aca="false">COUNTIFS(Calls!$A$2:$A$9999,$A84,Calls!$B$2:$B$9999,$B84,Calls!$O$2:$O$9999,"Interested")+COUNTIFS(Calls!$A$2:$A$9999,$A84,Calls!$B$2:$B$9999,$B84,Calls!$O$2:$O$9999,"Meeting booked")+COUNTIFS(Calls!$A$2:$A$9999,$A84,Calls!$B$2:$B$9999,$B84,Calls!$O$2:$O$9999,"Quote requested")</f>
        <v>0</v>
      </c>
      <c r="V84" s="21"/>
    </row>
    <row r="85" customFormat="false" ht="15" hidden="false" customHeight="false" outlineLevel="0" collapsed="false">
      <c r="A85" s="18" t="s">
        <v>1255</v>
      </c>
      <c r="B85" s="19" t="n">
        <v>2</v>
      </c>
      <c r="C85" s="18" t="s">
        <v>1273</v>
      </c>
      <c r="D85" s="22" t="s">
        <v>1272</v>
      </c>
      <c r="E85" s="18" t="s">
        <v>569</v>
      </c>
      <c r="F85" s="21" t="s">
        <v>1276</v>
      </c>
      <c r="G85" s="18" t="s">
        <v>1663</v>
      </c>
      <c r="H85" s="18" t="s">
        <v>43</v>
      </c>
      <c r="I85" s="29"/>
      <c r="J85" s="29" t="n">
        <v>45875</v>
      </c>
      <c r="K85" s="24" t="n">
        <v>90000</v>
      </c>
      <c r="L85" s="21" t="s">
        <v>149</v>
      </c>
      <c r="M85" s="18" t="s">
        <v>1546</v>
      </c>
      <c r="N85" s="21" t="s">
        <v>1549</v>
      </c>
      <c r="O85" s="21" t="s">
        <v>1272</v>
      </c>
      <c r="P85" s="29" t="n">
        <v>45875</v>
      </c>
      <c r="Q85" s="21" t="s">
        <v>1269</v>
      </c>
      <c r="R85" s="21" t="s">
        <v>1277</v>
      </c>
      <c r="S85" s="19" t="n">
        <f aca="false">COUNTIFS(Calls!$A$2:$A$9999,$A85,Calls!$B$2:$B$9999,$B85)</f>
        <v>2</v>
      </c>
      <c r="T85" s="19" t="n">
        <f aca="false">COUNTIFS(Calls!$A$2:$A$9999,$A85,Calls!$B$2:$B$9999,$B85,Calls!$N$2:$N$9999,"Reached*")</f>
        <v>0</v>
      </c>
      <c r="U85" s="31" t="n">
        <f aca="false">COUNTIFS(Calls!$A$2:$A$9999,$A85,Calls!$B$2:$B$9999,$B85,Calls!$O$2:$O$9999,"Interested")+COUNTIFS(Calls!$A$2:$A$9999,$A85,Calls!$B$2:$B$9999,$B85,Calls!$O$2:$O$9999,"Meeting booked")+COUNTIFS(Calls!$A$2:$A$9999,$A85,Calls!$B$2:$B$9999,$B85,Calls!$O$2:$O$9999,"Quote requested")</f>
        <v>0</v>
      </c>
      <c r="V85" s="21"/>
    </row>
    <row r="86" customFormat="false" ht="15" hidden="false" customHeight="false" outlineLevel="0" collapsed="false">
      <c r="A86" s="18" t="s">
        <v>1283</v>
      </c>
      <c r="B86" s="19" t="n">
        <v>1</v>
      </c>
      <c r="C86" s="18" t="s">
        <v>1285</v>
      </c>
      <c r="D86" s="22" t="s">
        <v>181</v>
      </c>
      <c r="E86" s="18" t="s">
        <v>1024</v>
      </c>
      <c r="F86" s="21" t="s">
        <v>1286</v>
      </c>
      <c r="G86" s="18" t="s">
        <v>1664</v>
      </c>
      <c r="H86" s="18" t="s">
        <v>43</v>
      </c>
      <c r="I86" s="29"/>
      <c r="J86" s="29" t="n">
        <v>45876</v>
      </c>
      <c r="K86" s="24" t="n">
        <v>50000</v>
      </c>
      <c r="L86" s="21" t="s">
        <v>149</v>
      </c>
      <c r="M86" s="18" t="s">
        <v>1546</v>
      </c>
      <c r="N86" s="21" t="s">
        <v>1549</v>
      </c>
      <c r="O86" s="21" t="s">
        <v>1287</v>
      </c>
      <c r="P86" s="29" t="n">
        <v>45876</v>
      </c>
      <c r="Q86" s="21" t="s">
        <v>670</v>
      </c>
      <c r="R86" s="21"/>
      <c r="S86" s="19" t="n">
        <f aca="false">COUNTIFS(Calls!$A$2:$A$9999,$A86,Calls!$B$2:$B$9999,$B86)</f>
        <v>1</v>
      </c>
      <c r="T86" s="19" t="n">
        <f aca="false">COUNTIFS(Calls!$A$2:$A$9999,$A86,Calls!$B$2:$B$9999,$B86,Calls!$N$2:$N$9999,"Reached*")</f>
        <v>0</v>
      </c>
      <c r="U86" s="31" t="n">
        <f aca="false">COUNTIFS(Calls!$A$2:$A$9999,$A86,Calls!$B$2:$B$9999,$B86,Calls!$O$2:$O$9999,"Interested")+COUNTIFS(Calls!$A$2:$A$9999,$A86,Calls!$B$2:$B$9999,$B86,Calls!$O$2:$O$9999,"Meeting booked")+COUNTIFS(Calls!$A$2:$A$9999,$A86,Calls!$B$2:$B$9999,$B86,Calls!$O$2:$O$9999,"Quote requested")</f>
        <v>0</v>
      </c>
      <c r="V86" s="21"/>
    </row>
    <row r="87" customFormat="false" ht="46.25" hidden="false" customHeight="false" outlineLevel="0" collapsed="false">
      <c r="A87" s="18" t="s">
        <v>1283</v>
      </c>
      <c r="B87" s="19" t="n">
        <v>2</v>
      </c>
      <c r="C87" s="18" t="s">
        <v>1291</v>
      </c>
      <c r="D87" s="22" t="s">
        <v>1289</v>
      </c>
      <c r="E87" s="18" t="s">
        <v>1290</v>
      </c>
      <c r="F87" s="21" t="s">
        <v>1293</v>
      </c>
      <c r="G87" s="18" t="s">
        <v>1665</v>
      </c>
      <c r="H87" s="18" t="s">
        <v>42</v>
      </c>
      <c r="I87" s="29" t="n">
        <v>45874</v>
      </c>
      <c r="J87" s="29"/>
      <c r="K87" s="24" t="n">
        <v>20000</v>
      </c>
      <c r="L87" s="21" t="s">
        <v>149</v>
      </c>
      <c r="M87" s="18"/>
      <c r="N87" s="21" t="s">
        <v>1666</v>
      </c>
      <c r="O87" s="21" t="s">
        <v>1294</v>
      </c>
      <c r="P87" s="29" t="n">
        <v>45876</v>
      </c>
      <c r="Q87" s="21" t="s">
        <v>1288</v>
      </c>
      <c r="R87" s="21" t="s">
        <v>869</v>
      </c>
      <c r="S87" s="19" t="n">
        <f aca="false">COUNTIFS(Calls!$A$2:$A$9999,$A87,Calls!$B$2:$B$9999,$B87)</f>
        <v>2</v>
      </c>
      <c r="T87" s="19" t="n">
        <f aca="false">COUNTIFS(Calls!$A$2:$A$9999,$A87,Calls!$B$2:$B$9999,$B87,Calls!$N$2:$N$9999,"Reached*")</f>
        <v>0</v>
      </c>
      <c r="U87" s="31" t="n">
        <f aca="false">COUNTIFS(Calls!$A$2:$A$9999,$A87,Calls!$B$2:$B$9999,$B87,Calls!$O$2:$O$9999,"Interested")+COUNTIFS(Calls!$A$2:$A$9999,$A87,Calls!$B$2:$B$9999,$B87,Calls!$O$2:$O$9999,"Meeting booked")+COUNTIFS(Calls!$A$2:$A$9999,$A87,Calls!$B$2:$B$9999,$B87,Calls!$O$2:$O$9999,"Quote requested")</f>
        <v>0</v>
      </c>
      <c r="V87" s="21"/>
    </row>
    <row r="88" customFormat="false" ht="46.25" hidden="false" customHeight="false" outlineLevel="0" collapsed="false">
      <c r="A88" s="18" t="s">
        <v>1283</v>
      </c>
      <c r="B88" s="19" t="n">
        <v>3</v>
      </c>
      <c r="C88" s="18" t="s">
        <v>1301</v>
      </c>
      <c r="D88" s="22" t="s">
        <v>1299</v>
      </c>
      <c r="E88" s="18" t="s">
        <v>1300</v>
      </c>
      <c r="F88" s="21" t="s">
        <v>1302</v>
      </c>
      <c r="G88" s="18" t="s">
        <v>1667</v>
      </c>
      <c r="H88" s="18" t="s">
        <v>42</v>
      </c>
      <c r="I88" s="29" t="n">
        <v>45874</v>
      </c>
      <c r="J88" s="29"/>
      <c r="K88" s="24" t="n">
        <v>400000</v>
      </c>
      <c r="L88" s="21" t="s">
        <v>707</v>
      </c>
      <c r="M88" s="18" t="s">
        <v>1564</v>
      </c>
      <c r="N88" s="21" t="s">
        <v>1668</v>
      </c>
      <c r="O88" s="21" t="s">
        <v>1304</v>
      </c>
      <c r="P88" s="29" t="n">
        <v>45876</v>
      </c>
      <c r="Q88" s="21" t="s">
        <v>1295</v>
      </c>
      <c r="R88" s="21" t="s">
        <v>1305</v>
      </c>
      <c r="S88" s="19" t="n">
        <f aca="false">COUNTIFS(Calls!$A$2:$A$9999,$A88,Calls!$B$2:$B$9999,$B88)</f>
        <v>2</v>
      </c>
      <c r="T88" s="19" t="n">
        <f aca="false">COUNTIFS(Calls!$A$2:$A$9999,$A88,Calls!$B$2:$B$9999,$B88,Calls!$N$2:$N$9999,"Reached*")</f>
        <v>0</v>
      </c>
      <c r="U88" s="31" t="n">
        <f aca="false">COUNTIFS(Calls!$A$2:$A$9999,$A88,Calls!$B$2:$B$9999,$B88,Calls!$O$2:$O$9999,"Interested")+COUNTIFS(Calls!$A$2:$A$9999,$A88,Calls!$B$2:$B$9999,$B88,Calls!$O$2:$O$9999,"Meeting booked")+COUNTIFS(Calls!$A$2:$A$9999,$A88,Calls!$B$2:$B$9999,$B88,Calls!$O$2:$O$9999,"Quote requested")</f>
        <v>0</v>
      </c>
      <c r="V88" s="21"/>
    </row>
    <row r="89" customFormat="false" ht="23.85" hidden="false" customHeight="false" outlineLevel="0" collapsed="false">
      <c r="A89" s="18" t="s">
        <v>1311</v>
      </c>
      <c r="B89" s="19" t="n">
        <v>1</v>
      </c>
      <c r="C89" s="18" t="s">
        <v>1317</v>
      </c>
      <c r="D89" s="22" t="s">
        <v>1316</v>
      </c>
      <c r="E89" s="18" t="s">
        <v>182</v>
      </c>
      <c r="F89" s="21" t="s">
        <v>1320</v>
      </c>
      <c r="G89" s="18" t="s">
        <v>1669</v>
      </c>
      <c r="H89" s="18" t="s">
        <v>42</v>
      </c>
      <c r="I89" s="29" t="n">
        <v>45874</v>
      </c>
      <c r="J89" s="29"/>
      <c r="K89" s="24" t="n">
        <v>40000</v>
      </c>
      <c r="L89" s="21" t="s">
        <v>149</v>
      </c>
      <c r="M89" s="18"/>
      <c r="N89" s="21" t="s">
        <v>1670</v>
      </c>
      <c r="O89" s="21" t="s">
        <v>1316</v>
      </c>
      <c r="P89" s="29" t="n">
        <v>45880</v>
      </c>
      <c r="Q89" s="21" t="s">
        <v>1312</v>
      </c>
      <c r="R89" s="21" t="s">
        <v>1305</v>
      </c>
      <c r="S89" s="19" t="n">
        <f aca="false">COUNTIFS(Calls!$A$2:$A$9999,$A89,Calls!$B$2:$B$9999,$B89)</f>
        <v>2</v>
      </c>
      <c r="T89" s="19" t="n">
        <f aca="false">COUNTIFS(Calls!$A$2:$A$9999,$A89,Calls!$B$2:$B$9999,$B89,Calls!$N$2:$N$9999,"Reached*")</f>
        <v>0</v>
      </c>
      <c r="U89" s="31" t="n">
        <f aca="false">COUNTIFS(Calls!$A$2:$A$9999,$A89,Calls!$B$2:$B$9999,$B89,Calls!$O$2:$O$9999,"Interested")+COUNTIFS(Calls!$A$2:$A$9999,$A89,Calls!$B$2:$B$9999,$B89,Calls!$O$2:$O$9999,"Meeting booked")+COUNTIFS(Calls!$A$2:$A$9999,$A89,Calls!$B$2:$B$9999,$B89,Calls!$O$2:$O$9999,"Quote requested")</f>
        <v>0</v>
      </c>
      <c r="V89" s="21"/>
    </row>
    <row r="90" customFormat="false" ht="23.85" hidden="false" customHeight="false" outlineLevel="0" collapsed="false">
      <c r="A90" s="18" t="s">
        <v>1311</v>
      </c>
      <c r="B90" s="19" t="n">
        <v>2</v>
      </c>
      <c r="C90" s="18" t="s">
        <v>1322</v>
      </c>
      <c r="D90" s="22" t="s">
        <v>1321</v>
      </c>
      <c r="E90" s="18" t="s">
        <v>182</v>
      </c>
      <c r="F90" s="21" t="s">
        <v>1318</v>
      </c>
      <c r="G90" s="18" t="s">
        <v>1671</v>
      </c>
      <c r="H90" s="18" t="s">
        <v>42</v>
      </c>
      <c r="I90" s="29" t="n">
        <v>45876</v>
      </c>
      <c r="J90" s="29"/>
      <c r="K90" s="24" t="n">
        <v>50000</v>
      </c>
      <c r="L90" s="21" t="s">
        <v>149</v>
      </c>
      <c r="M90" s="18"/>
      <c r="N90" s="21" t="s">
        <v>1670</v>
      </c>
      <c r="O90" s="21" t="s">
        <v>1323</v>
      </c>
      <c r="P90" s="29" t="n">
        <v>45880</v>
      </c>
      <c r="Q90" s="21" t="s">
        <v>1312</v>
      </c>
      <c r="R90" s="21" t="s">
        <v>1305</v>
      </c>
      <c r="S90" s="19" t="n">
        <f aca="false">COUNTIFS(Calls!$A$2:$A$9999,$A90,Calls!$B$2:$B$9999,$B90)</f>
        <v>2</v>
      </c>
      <c r="T90" s="19" t="n">
        <f aca="false">COUNTIFS(Calls!$A$2:$A$9999,$A90,Calls!$B$2:$B$9999,$B90,Calls!$N$2:$N$9999,"Reached*")</f>
        <v>0</v>
      </c>
      <c r="U90" s="31" t="n">
        <f aca="false">COUNTIFS(Calls!$A$2:$A$9999,$A90,Calls!$B$2:$B$9999,$B90,Calls!$O$2:$O$9999,"Interested")+COUNTIFS(Calls!$A$2:$A$9999,$A90,Calls!$B$2:$B$9999,$B90,Calls!$O$2:$O$9999,"Meeting booked")+COUNTIFS(Calls!$A$2:$A$9999,$A90,Calls!$B$2:$B$9999,$B90,Calls!$O$2:$O$9999,"Quote requested")</f>
        <v>0</v>
      </c>
      <c r="V90" s="21"/>
    </row>
    <row r="91" customFormat="false" ht="23.85" hidden="false" customHeight="false" outlineLevel="0" collapsed="false">
      <c r="A91" s="18" t="s">
        <v>1324</v>
      </c>
      <c r="B91" s="19" t="n">
        <v>1</v>
      </c>
      <c r="C91" s="18" t="s">
        <v>1330</v>
      </c>
      <c r="D91" s="22" t="s">
        <v>1329</v>
      </c>
      <c r="E91" s="18" t="s">
        <v>569</v>
      </c>
      <c r="F91" s="21" t="s">
        <v>1331</v>
      </c>
      <c r="G91" s="18" t="s">
        <v>1672</v>
      </c>
      <c r="H91" s="18" t="s">
        <v>43</v>
      </c>
      <c r="I91" s="29"/>
      <c r="J91" s="29" t="n">
        <v>45881</v>
      </c>
      <c r="K91" s="24" t="n">
        <v>50000</v>
      </c>
      <c r="L91" s="21" t="s">
        <v>149</v>
      </c>
      <c r="M91" s="18" t="s">
        <v>1546</v>
      </c>
      <c r="N91" s="21" t="s">
        <v>1673</v>
      </c>
      <c r="O91" s="21" t="s">
        <v>1333</v>
      </c>
      <c r="P91" s="29" t="n">
        <v>45881</v>
      </c>
      <c r="Q91" s="21" t="s">
        <v>1325</v>
      </c>
      <c r="R91" s="21" t="s">
        <v>1334</v>
      </c>
      <c r="S91" s="19" t="n">
        <f aca="false">COUNTIFS(Calls!$A$2:$A$9999,$A91,Calls!$B$2:$B$9999,$B91)</f>
        <v>2</v>
      </c>
      <c r="T91" s="19" t="n">
        <f aca="false">COUNTIFS(Calls!$A$2:$A$9999,$A91,Calls!$B$2:$B$9999,$B91,Calls!$N$2:$N$9999,"Reached*")</f>
        <v>0</v>
      </c>
      <c r="U91" s="31" t="n">
        <f aca="false">COUNTIFS(Calls!$A$2:$A$9999,$A91,Calls!$B$2:$B$9999,$B91,Calls!$O$2:$O$9999,"Interested")+COUNTIFS(Calls!$A$2:$A$9999,$A91,Calls!$B$2:$B$9999,$B91,Calls!$O$2:$O$9999,"Meeting booked")+COUNTIFS(Calls!$A$2:$A$9999,$A91,Calls!$B$2:$B$9999,$B91,Calls!$O$2:$O$9999,"Quote requested")</f>
        <v>0</v>
      </c>
      <c r="V91" s="21"/>
    </row>
    <row r="92" customFormat="false" ht="23.85" hidden="false" customHeight="false" outlineLevel="0" collapsed="false">
      <c r="A92" s="18" t="s">
        <v>1340</v>
      </c>
      <c r="B92" s="19" t="n">
        <v>1</v>
      </c>
      <c r="C92" s="18" t="s">
        <v>1342</v>
      </c>
      <c r="D92" s="22" t="s">
        <v>1341</v>
      </c>
      <c r="E92" s="18" t="s">
        <v>156</v>
      </c>
      <c r="F92" s="21" t="s">
        <v>1343</v>
      </c>
      <c r="G92" s="18" t="s">
        <v>1674</v>
      </c>
      <c r="H92" s="18" t="s">
        <v>43</v>
      </c>
      <c r="I92" s="29"/>
      <c r="J92" s="29" t="n">
        <v>45882</v>
      </c>
      <c r="K92" s="24" t="n">
        <v>50000</v>
      </c>
      <c r="L92" s="21" t="s">
        <v>254</v>
      </c>
      <c r="M92" s="18" t="s">
        <v>1546</v>
      </c>
      <c r="N92" s="21" t="s">
        <v>1614</v>
      </c>
      <c r="O92" s="21" t="s">
        <v>1341</v>
      </c>
      <c r="P92" s="29" t="n">
        <v>45882</v>
      </c>
      <c r="Q92" s="21" t="s">
        <v>1054</v>
      </c>
      <c r="R92" s="21"/>
      <c r="S92" s="19" t="n">
        <f aca="false">COUNTIFS(Calls!$A$2:$A$9999,$A92,Calls!$B$2:$B$9999,$B92)</f>
        <v>1</v>
      </c>
      <c r="T92" s="19" t="n">
        <f aca="false">COUNTIFS(Calls!$A$2:$A$9999,$A92,Calls!$B$2:$B$9999,$B92,Calls!$N$2:$N$9999,"Reached*")</f>
        <v>0</v>
      </c>
      <c r="U92" s="31" t="n">
        <f aca="false">COUNTIFS(Calls!$A$2:$A$9999,$A92,Calls!$B$2:$B$9999,$B92,Calls!$O$2:$O$9999,"Interested")+COUNTIFS(Calls!$A$2:$A$9999,$A92,Calls!$B$2:$B$9999,$B92,Calls!$O$2:$O$9999,"Meeting booked")+COUNTIFS(Calls!$A$2:$A$9999,$A92,Calls!$B$2:$B$9999,$B92,Calls!$O$2:$O$9999,"Quote requested")</f>
        <v>0</v>
      </c>
      <c r="V92" s="21"/>
    </row>
    <row r="93" customFormat="false" ht="23.85" hidden="false" customHeight="false" outlineLevel="0" collapsed="false">
      <c r="A93" s="18" t="s">
        <v>1340</v>
      </c>
      <c r="B93" s="19" t="n">
        <v>2</v>
      </c>
      <c r="C93" s="18" t="s">
        <v>1347</v>
      </c>
      <c r="D93" s="22" t="s">
        <v>1346</v>
      </c>
      <c r="E93" s="18" t="s">
        <v>477</v>
      </c>
      <c r="F93" s="21" t="s">
        <v>1349</v>
      </c>
      <c r="G93" s="18" t="s">
        <v>1675</v>
      </c>
      <c r="H93" s="18" t="s">
        <v>43</v>
      </c>
      <c r="I93" s="29"/>
      <c r="J93" s="29" t="n">
        <v>45882</v>
      </c>
      <c r="K93" s="24" t="n">
        <v>10000</v>
      </c>
      <c r="L93" s="21" t="s">
        <v>254</v>
      </c>
      <c r="M93" s="18" t="s">
        <v>1546</v>
      </c>
      <c r="N93" s="21" t="s">
        <v>1576</v>
      </c>
      <c r="O93" s="21" t="s">
        <v>1350</v>
      </c>
      <c r="P93" s="29" t="n">
        <v>45882</v>
      </c>
      <c r="Q93" s="21" t="s">
        <v>1344</v>
      </c>
      <c r="R93" s="21" t="s">
        <v>1351</v>
      </c>
      <c r="S93" s="19" t="n">
        <f aca="false">COUNTIFS(Calls!$A$2:$A$9999,$A93,Calls!$B$2:$B$9999,$B93)</f>
        <v>2</v>
      </c>
      <c r="T93" s="19" t="n">
        <f aca="false">COUNTIFS(Calls!$A$2:$A$9999,$A93,Calls!$B$2:$B$9999,$B93,Calls!$N$2:$N$9999,"Reached*")</f>
        <v>0</v>
      </c>
      <c r="U93" s="31" t="n">
        <f aca="false">COUNTIFS(Calls!$A$2:$A$9999,$A93,Calls!$B$2:$B$9999,$B93,Calls!$O$2:$O$9999,"Interested")+COUNTIFS(Calls!$A$2:$A$9999,$A93,Calls!$B$2:$B$9999,$B93,Calls!$O$2:$O$9999,"Meeting booked")+COUNTIFS(Calls!$A$2:$A$9999,$A93,Calls!$B$2:$B$9999,$B93,Calls!$O$2:$O$9999,"Quote requested")</f>
        <v>0</v>
      </c>
      <c r="V93" s="21"/>
    </row>
    <row r="94" customFormat="false" ht="15" hidden="false" customHeight="false" outlineLevel="0" collapsed="false">
      <c r="A94" s="18" t="s">
        <v>1357</v>
      </c>
      <c r="B94" s="19" t="n">
        <v>1</v>
      </c>
      <c r="C94" s="18" t="s">
        <v>1361</v>
      </c>
      <c r="D94" s="22" t="s">
        <v>181</v>
      </c>
      <c r="E94" s="18" t="s">
        <v>569</v>
      </c>
      <c r="F94" s="21" t="s">
        <v>1362</v>
      </c>
      <c r="G94" s="18" t="s">
        <v>1676</v>
      </c>
      <c r="H94" s="18" t="s">
        <v>43</v>
      </c>
      <c r="I94" s="29"/>
      <c r="J94" s="29" t="n">
        <v>45883</v>
      </c>
      <c r="K94" s="24" t="n">
        <v>70000</v>
      </c>
      <c r="L94" s="21" t="s">
        <v>149</v>
      </c>
      <c r="M94" s="18" t="s">
        <v>1546</v>
      </c>
      <c r="N94" s="21" t="s">
        <v>1549</v>
      </c>
      <c r="O94" s="21" t="s">
        <v>1363</v>
      </c>
      <c r="P94" s="29" t="n">
        <v>45883</v>
      </c>
      <c r="Q94" s="21" t="s">
        <v>1358</v>
      </c>
      <c r="R94" s="21" t="s">
        <v>1364</v>
      </c>
      <c r="S94" s="19" t="n">
        <f aca="false">COUNTIFS(Calls!$A$2:$A$9999,$A94,Calls!$B$2:$B$9999,$B94)</f>
        <v>2</v>
      </c>
      <c r="T94" s="19" t="n">
        <f aca="false">COUNTIFS(Calls!$A$2:$A$9999,$A94,Calls!$B$2:$B$9999,$B94,Calls!$N$2:$N$9999,"Reached*")</f>
        <v>0</v>
      </c>
      <c r="U94" s="31" t="n">
        <f aca="false">COUNTIFS(Calls!$A$2:$A$9999,$A94,Calls!$B$2:$B$9999,$B94,Calls!$O$2:$O$9999,"Interested")+COUNTIFS(Calls!$A$2:$A$9999,$A94,Calls!$B$2:$B$9999,$B94,Calls!$O$2:$O$9999,"Meeting booked")+COUNTIFS(Calls!$A$2:$A$9999,$A94,Calls!$B$2:$B$9999,$B94,Calls!$O$2:$O$9999,"Quote requested")</f>
        <v>0</v>
      </c>
      <c r="V94" s="21"/>
    </row>
    <row r="95" customFormat="false" ht="23.85" hidden="false" customHeight="false" outlineLevel="0" collapsed="false">
      <c r="A95" s="18" t="s">
        <v>1357</v>
      </c>
      <c r="B95" s="19" t="n">
        <v>2</v>
      </c>
      <c r="C95" s="18" t="s">
        <v>1373</v>
      </c>
      <c r="D95" s="22" t="s">
        <v>1372</v>
      </c>
      <c r="E95" s="18" t="s">
        <v>1155</v>
      </c>
      <c r="F95" s="21" t="s">
        <v>1159</v>
      </c>
      <c r="G95" s="18" t="s">
        <v>1652</v>
      </c>
      <c r="H95" s="18" t="s">
        <v>43</v>
      </c>
      <c r="I95" s="29"/>
      <c r="J95" s="29" t="n">
        <v>45883</v>
      </c>
      <c r="K95" s="24" t="n">
        <v>70000</v>
      </c>
      <c r="L95" s="21" t="s">
        <v>149</v>
      </c>
      <c r="M95" s="18" t="s">
        <v>1546</v>
      </c>
      <c r="N95" s="21" t="s">
        <v>1549</v>
      </c>
      <c r="O95" s="21" t="s">
        <v>1372</v>
      </c>
      <c r="P95" s="29" t="n">
        <v>45883</v>
      </c>
      <c r="Q95" s="21" t="s">
        <v>1369</v>
      </c>
      <c r="R95" s="21" t="s">
        <v>829</v>
      </c>
      <c r="S95" s="19" t="n">
        <f aca="false">COUNTIFS(Calls!$A$2:$A$9999,$A95,Calls!$B$2:$B$9999,$B95)</f>
        <v>2</v>
      </c>
      <c r="T95" s="19" t="n">
        <f aca="false">COUNTIFS(Calls!$A$2:$A$9999,$A95,Calls!$B$2:$B$9999,$B95,Calls!$N$2:$N$9999,"Reached*")</f>
        <v>0</v>
      </c>
      <c r="U95" s="31" t="n">
        <f aca="false">COUNTIFS(Calls!$A$2:$A$9999,$A95,Calls!$B$2:$B$9999,$B95,Calls!$O$2:$O$9999,"Interested")+COUNTIFS(Calls!$A$2:$A$9999,$A95,Calls!$B$2:$B$9999,$B95,Calls!$O$2:$O$9999,"Meeting booked")+COUNTIFS(Calls!$A$2:$A$9999,$A95,Calls!$B$2:$B$9999,$B95,Calls!$O$2:$O$9999,"Quote requested")</f>
        <v>0</v>
      </c>
      <c r="V95" s="21"/>
    </row>
    <row r="96" customFormat="false" ht="35.05" hidden="false" customHeight="false" outlineLevel="0" collapsed="false">
      <c r="A96" s="18" t="s">
        <v>1357</v>
      </c>
      <c r="B96" s="19" t="n">
        <v>3</v>
      </c>
      <c r="C96" s="18" t="s">
        <v>1380</v>
      </c>
      <c r="D96" s="22" t="s">
        <v>1379</v>
      </c>
      <c r="E96" s="18" t="s">
        <v>852</v>
      </c>
      <c r="F96" s="21" t="s">
        <v>1382</v>
      </c>
      <c r="G96" s="18" t="s">
        <v>1677</v>
      </c>
      <c r="H96" s="18" t="s">
        <v>43</v>
      </c>
      <c r="I96" s="29"/>
      <c r="J96" s="29" t="n">
        <v>45883</v>
      </c>
      <c r="K96" s="24" t="n">
        <v>200000</v>
      </c>
      <c r="L96" s="21" t="s">
        <v>254</v>
      </c>
      <c r="M96" s="18" t="s">
        <v>1546</v>
      </c>
      <c r="N96" s="21" t="s">
        <v>1678</v>
      </c>
      <c r="O96" s="21" t="s">
        <v>1383</v>
      </c>
      <c r="P96" s="29" t="n">
        <v>45883</v>
      </c>
      <c r="Q96" s="21" t="s">
        <v>1375</v>
      </c>
      <c r="R96" s="21" t="s">
        <v>1384</v>
      </c>
      <c r="S96" s="19" t="n">
        <f aca="false">COUNTIFS(Calls!$A$2:$A$9999,$A96,Calls!$B$2:$B$9999,$B96)</f>
        <v>2</v>
      </c>
      <c r="T96" s="19" t="n">
        <f aca="false">COUNTIFS(Calls!$A$2:$A$9999,$A96,Calls!$B$2:$B$9999,$B96,Calls!$N$2:$N$9999,"Reached*")</f>
        <v>0</v>
      </c>
      <c r="U96" s="31" t="n">
        <f aca="false">COUNTIFS(Calls!$A$2:$A$9999,$A96,Calls!$B$2:$B$9999,$B96,Calls!$O$2:$O$9999,"Interested")+COUNTIFS(Calls!$A$2:$A$9999,$A96,Calls!$B$2:$B$9999,$B96,Calls!$O$2:$O$9999,"Meeting booked")+COUNTIFS(Calls!$A$2:$A$9999,$A96,Calls!$B$2:$B$9999,$B96,Calls!$O$2:$O$9999,"Quote requested")</f>
        <v>0</v>
      </c>
      <c r="V96" s="21"/>
    </row>
    <row r="97" customFormat="false" ht="15" hidden="false" customHeight="false" outlineLevel="0" collapsed="false">
      <c r="A97" s="18" t="s">
        <v>1390</v>
      </c>
      <c r="B97" s="19" t="n">
        <v>1</v>
      </c>
      <c r="C97" s="18" t="s">
        <v>1396</v>
      </c>
      <c r="D97" s="22" t="s">
        <v>1395</v>
      </c>
      <c r="E97" s="18" t="s">
        <v>840</v>
      </c>
      <c r="F97" s="21" t="s">
        <v>1399</v>
      </c>
      <c r="G97" s="18" t="s">
        <v>1679</v>
      </c>
      <c r="H97" s="18" t="s">
        <v>43</v>
      </c>
      <c r="I97" s="29"/>
      <c r="J97" s="29" t="n">
        <v>45891</v>
      </c>
      <c r="K97" s="24" t="n">
        <v>70000</v>
      </c>
      <c r="L97" s="21" t="s">
        <v>149</v>
      </c>
      <c r="M97" s="18" t="s">
        <v>1546</v>
      </c>
      <c r="N97" s="21" t="s">
        <v>1549</v>
      </c>
      <c r="O97" s="21" t="s">
        <v>1395</v>
      </c>
      <c r="P97" s="29" t="n">
        <v>45891</v>
      </c>
      <c r="Q97" s="21" t="s">
        <v>1391</v>
      </c>
      <c r="R97" s="21" t="s">
        <v>1400</v>
      </c>
      <c r="S97" s="19" t="n">
        <f aca="false">COUNTIFS(Calls!$A$2:$A$9999,$A97,Calls!$B$2:$B$9999,$B97)</f>
        <v>2</v>
      </c>
      <c r="T97" s="19" t="n">
        <f aca="false">COUNTIFS(Calls!$A$2:$A$9999,$A97,Calls!$B$2:$B$9999,$B97,Calls!$N$2:$N$9999,"Reached*")</f>
        <v>0</v>
      </c>
      <c r="U97" s="31" t="n">
        <f aca="false">COUNTIFS(Calls!$A$2:$A$9999,$A97,Calls!$B$2:$B$9999,$B97,Calls!$O$2:$O$9999,"Interested")+COUNTIFS(Calls!$A$2:$A$9999,$A97,Calls!$B$2:$B$9999,$B97,Calls!$O$2:$O$9999,"Meeting booked")+COUNTIFS(Calls!$A$2:$A$9999,$A97,Calls!$B$2:$B$9999,$B97,Calls!$O$2:$O$9999,"Quote requested")</f>
        <v>0</v>
      </c>
      <c r="V97" s="21"/>
    </row>
    <row r="98" customFormat="false" ht="23.85" hidden="false" customHeight="false" outlineLevel="0" collapsed="false">
      <c r="A98" s="18" t="s">
        <v>1406</v>
      </c>
      <c r="B98" s="19" t="n">
        <v>1</v>
      </c>
      <c r="C98" s="18" t="s">
        <v>1408</v>
      </c>
      <c r="D98" s="22" t="s">
        <v>1407</v>
      </c>
      <c r="E98" s="18" t="s">
        <v>156</v>
      </c>
      <c r="F98" s="21" t="s">
        <v>1343</v>
      </c>
      <c r="G98" s="18" t="s">
        <v>1674</v>
      </c>
      <c r="H98" s="18" t="s">
        <v>43</v>
      </c>
      <c r="I98" s="29"/>
      <c r="J98" s="29" t="n">
        <v>45897</v>
      </c>
      <c r="K98" s="24" t="n">
        <v>200000</v>
      </c>
      <c r="L98" s="21" t="s">
        <v>254</v>
      </c>
      <c r="M98" s="18" t="s">
        <v>1546</v>
      </c>
      <c r="N98" s="21" t="s">
        <v>1680</v>
      </c>
      <c r="O98" s="21" t="s">
        <v>1409</v>
      </c>
      <c r="P98" s="29" t="n">
        <v>45897</v>
      </c>
      <c r="Q98" s="21" t="s">
        <v>1054</v>
      </c>
      <c r="R98" s="21"/>
      <c r="S98" s="19" t="n">
        <f aca="false">COUNTIFS(Calls!$A$2:$A$9999,$A98,Calls!$B$2:$B$9999,$B98)</f>
        <v>1</v>
      </c>
      <c r="T98" s="19" t="n">
        <f aca="false">COUNTIFS(Calls!$A$2:$A$9999,$A98,Calls!$B$2:$B$9999,$B98,Calls!$N$2:$N$9999,"Reached*")</f>
        <v>0</v>
      </c>
      <c r="U98" s="31" t="n">
        <f aca="false">COUNTIFS(Calls!$A$2:$A$9999,$A98,Calls!$B$2:$B$9999,$B98,Calls!$O$2:$O$9999,"Interested")+COUNTIFS(Calls!$A$2:$A$9999,$A98,Calls!$B$2:$B$9999,$B98,Calls!$O$2:$O$9999,"Meeting booked")+COUNTIFS(Calls!$A$2:$A$9999,$A98,Calls!$B$2:$B$9999,$B98,Calls!$O$2:$O$9999,"Quote requested")</f>
        <v>0</v>
      </c>
      <c r="V98" s="21"/>
    </row>
    <row r="99" customFormat="false" ht="23.85" hidden="false" customHeight="false" outlineLevel="0" collapsed="false">
      <c r="A99" s="18" t="s">
        <v>1410</v>
      </c>
      <c r="B99" s="19" t="n">
        <v>1</v>
      </c>
      <c r="C99" s="18" t="s">
        <v>1416</v>
      </c>
      <c r="D99" s="22" t="s">
        <v>1415</v>
      </c>
      <c r="E99" s="18" t="s">
        <v>1155</v>
      </c>
      <c r="F99" s="21" t="s">
        <v>1159</v>
      </c>
      <c r="G99" s="18" t="s">
        <v>1652</v>
      </c>
      <c r="H99" s="18" t="s">
        <v>43</v>
      </c>
      <c r="I99" s="29"/>
      <c r="J99" s="29" t="n">
        <v>45897</v>
      </c>
      <c r="K99" s="24" t="n">
        <v>70000</v>
      </c>
      <c r="L99" s="21" t="s">
        <v>149</v>
      </c>
      <c r="M99" s="18" t="s">
        <v>1546</v>
      </c>
      <c r="N99" s="21" t="s">
        <v>1587</v>
      </c>
      <c r="O99" s="21" t="s">
        <v>1419</v>
      </c>
      <c r="P99" s="29" t="n">
        <v>45899</v>
      </c>
      <c r="Q99" s="21" t="s">
        <v>1411</v>
      </c>
      <c r="R99" s="21" t="s">
        <v>829</v>
      </c>
      <c r="S99" s="19" t="n">
        <f aca="false">COUNTIFS(Calls!$A$2:$A$9999,$A99,Calls!$B$2:$B$9999,$B99)</f>
        <v>2</v>
      </c>
      <c r="T99" s="19" t="n">
        <f aca="false">COUNTIFS(Calls!$A$2:$A$9999,$A99,Calls!$B$2:$B$9999,$B99,Calls!$N$2:$N$9999,"Reached*")</f>
        <v>0</v>
      </c>
      <c r="U99" s="31" t="n">
        <f aca="false">COUNTIFS(Calls!$A$2:$A$9999,$A99,Calls!$B$2:$B$9999,$B99,Calls!$O$2:$O$9999,"Interested")+COUNTIFS(Calls!$A$2:$A$9999,$A99,Calls!$B$2:$B$9999,$B99,Calls!$O$2:$O$9999,"Meeting booked")+COUNTIFS(Calls!$A$2:$A$9999,$A99,Calls!$B$2:$B$9999,$B99,Calls!$O$2:$O$9999,"Quote requested")</f>
        <v>0</v>
      </c>
      <c r="V99" s="21"/>
    </row>
    <row r="100" customFormat="false" ht="23.85" hidden="false" customHeight="false" outlineLevel="0" collapsed="false">
      <c r="A100" s="18" t="s">
        <v>1420</v>
      </c>
      <c r="B100" s="19" t="n">
        <v>1</v>
      </c>
      <c r="C100" s="18" t="s">
        <v>1426</v>
      </c>
      <c r="D100" s="22" t="s">
        <v>1425</v>
      </c>
      <c r="E100" s="18" t="s">
        <v>852</v>
      </c>
      <c r="F100" s="21" t="s">
        <v>1429</v>
      </c>
      <c r="G100" s="18" t="s">
        <v>1681</v>
      </c>
      <c r="H100" s="18" t="s">
        <v>43</v>
      </c>
      <c r="I100" s="29"/>
      <c r="J100" s="29" t="n">
        <v>46056</v>
      </c>
      <c r="K100" s="24" t="n">
        <v>500000</v>
      </c>
      <c r="L100" s="21" t="s">
        <v>149</v>
      </c>
      <c r="M100" s="18" t="s">
        <v>1546</v>
      </c>
      <c r="N100" s="21" t="s">
        <v>1602</v>
      </c>
      <c r="O100" s="21" t="s">
        <v>1430</v>
      </c>
      <c r="P100" s="29" t="n">
        <v>46056</v>
      </c>
      <c r="Q100" s="21" t="s">
        <v>1421</v>
      </c>
      <c r="R100" s="21" t="s">
        <v>1431</v>
      </c>
      <c r="S100" s="19" t="n">
        <f aca="false">COUNTIFS(Calls!$A$2:$A$9999,$A100,Calls!$B$2:$B$9999,$B100)</f>
        <v>2</v>
      </c>
      <c r="T100" s="19" t="n">
        <f aca="false">COUNTIFS(Calls!$A$2:$A$9999,$A100,Calls!$B$2:$B$9999,$B100,Calls!$N$2:$N$9999,"Reached*")</f>
        <v>0</v>
      </c>
      <c r="U100" s="31" t="n">
        <f aca="false">COUNTIFS(Calls!$A$2:$A$9999,$A100,Calls!$B$2:$B$9999,$B100,Calls!$O$2:$O$9999,"Interested")+COUNTIFS(Calls!$A$2:$A$9999,$A100,Calls!$B$2:$B$9999,$B100,Calls!$O$2:$O$9999,"Meeting booked")+COUNTIFS(Calls!$A$2:$A$9999,$A100,Calls!$B$2:$B$9999,$B100,Calls!$O$2:$O$9999,"Quote requested")</f>
        <v>0</v>
      </c>
      <c r="V100" s="21"/>
    </row>
    <row r="101" customFormat="false" ht="23.85" hidden="false" customHeight="false" outlineLevel="0" collapsed="false">
      <c r="A101" s="18" t="s">
        <v>1437</v>
      </c>
      <c r="B101" s="19" t="n">
        <v>1</v>
      </c>
      <c r="C101" s="18" t="s">
        <v>1440</v>
      </c>
      <c r="D101" s="22" t="s">
        <v>1439</v>
      </c>
      <c r="E101" s="18" t="s">
        <v>1094</v>
      </c>
      <c r="F101" s="21" t="s">
        <v>1441</v>
      </c>
      <c r="G101" s="18" t="s">
        <v>1682</v>
      </c>
      <c r="H101" s="18" t="s">
        <v>43</v>
      </c>
      <c r="I101" s="29"/>
      <c r="J101" s="29" t="n">
        <v>45943</v>
      </c>
      <c r="K101" s="24" t="n">
        <v>90000</v>
      </c>
      <c r="L101" s="21" t="s">
        <v>149</v>
      </c>
      <c r="M101" s="18" t="s">
        <v>1546</v>
      </c>
      <c r="N101" s="21" t="s">
        <v>1683</v>
      </c>
      <c r="O101" s="21" t="s">
        <v>1442</v>
      </c>
      <c r="P101" s="29" t="n">
        <v>45943</v>
      </c>
      <c r="Q101" s="21" t="s">
        <v>411</v>
      </c>
      <c r="R101" s="21" t="s">
        <v>829</v>
      </c>
      <c r="S101" s="19" t="n">
        <f aca="false">COUNTIFS(Calls!$A$2:$A$9999,$A101,Calls!$B$2:$B$9999,$B101)</f>
        <v>2</v>
      </c>
      <c r="T101" s="19" t="n">
        <f aca="false">COUNTIFS(Calls!$A$2:$A$9999,$A101,Calls!$B$2:$B$9999,$B101,Calls!$N$2:$N$9999,"Reached*")</f>
        <v>0</v>
      </c>
      <c r="U101" s="31" t="n">
        <f aca="false">COUNTIFS(Calls!$A$2:$A$9999,$A101,Calls!$B$2:$B$9999,$B101,Calls!$O$2:$O$9999,"Interested")+COUNTIFS(Calls!$A$2:$A$9999,$A101,Calls!$B$2:$B$9999,$B101,Calls!$O$2:$O$9999,"Meeting booked")+COUNTIFS(Calls!$A$2:$A$9999,$A101,Calls!$B$2:$B$9999,$B101,Calls!$O$2:$O$9999,"Quote requested")</f>
        <v>0</v>
      </c>
      <c r="V101" s="21"/>
    </row>
    <row r="102" customFormat="false" ht="15" hidden="false" customHeight="false" outlineLevel="0" collapsed="false">
      <c r="A102" s="18" t="s">
        <v>1443</v>
      </c>
      <c r="B102" s="19" t="n">
        <v>1</v>
      </c>
      <c r="C102" s="18" t="s">
        <v>1449</v>
      </c>
      <c r="D102" s="22" t="s">
        <v>1448</v>
      </c>
      <c r="E102" s="18" t="s">
        <v>569</v>
      </c>
      <c r="F102" s="21" t="s">
        <v>1452</v>
      </c>
      <c r="G102" s="18" t="s">
        <v>1684</v>
      </c>
      <c r="H102" s="18" t="s">
        <v>43</v>
      </c>
      <c r="I102" s="29"/>
      <c r="J102" s="29" t="n">
        <v>45945</v>
      </c>
      <c r="K102" s="24" t="n">
        <v>200000</v>
      </c>
      <c r="L102" s="21" t="s">
        <v>149</v>
      </c>
      <c r="M102" s="18" t="s">
        <v>1546</v>
      </c>
      <c r="N102" s="21" t="s">
        <v>1549</v>
      </c>
      <c r="O102" s="21" t="s">
        <v>1453</v>
      </c>
      <c r="P102" s="29" t="n">
        <v>45945</v>
      </c>
      <c r="Q102" s="21" t="s">
        <v>1444</v>
      </c>
      <c r="R102" s="21" t="s">
        <v>1454</v>
      </c>
      <c r="S102" s="19" t="n">
        <f aca="false">COUNTIFS(Calls!$A$2:$A$9999,$A102,Calls!$B$2:$B$9999,$B102)</f>
        <v>2</v>
      </c>
      <c r="T102" s="19" t="n">
        <f aca="false">COUNTIFS(Calls!$A$2:$A$9999,$A102,Calls!$B$2:$B$9999,$B102,Calls!$N$2:$N$9999,"Reached*")</f>
        <v>0</v>
      </c>
      <c r="U102" s="31" t="n">
        <f aca="false">COUNTIFS(Calls!$A$2:$A$9999,$A102,Calls!$B$2:$B$9999,$B102,Calls!$O$2:$O$9999,"Interested")+COUNTIFS(Calls!$A$2:$A$9999,$A102,Calls!$B$2:$B$9999,$B102,Calls!$O$2:$O$9999,"Meeting booked")+COUNTIFS(Calls!$A$2:$A$9999,$A102,Calls!$B$2:$B$9999,$B102,Calls!$O$2:$O$9999,"Quote requested")</f>
        <v>0</v>
      </c>
      <c r="V102" s="21"/>
    </row>
    <row r="103" customFormat="false" ht="23.85" hidden="false" customHeight="false" outlineLevel="0" collapsed="false">
      <c r="A103" s="18" t="s">
        <v>1459</v>
      </c>
      <c r="B103" s="19" t="n">
        <v>1</v>
      </c>
      <c r="C103" s="18" t="s">
        <v>1464</v>
      </c>
      <c r="D103" s="22" t="s">
        <v>1463</v>
      </c>
      <c r="E103" s="18" t="s">
        <v>156</v>
      </c>
      <c r="F103" s="21" t="s">
        <v>1467</v>
      </c>
      <c r="G103" s="18" t="s">
        <v>1685</v>
      </c>
      <c r="H103" s="18" t="s">
        <v>43</v>
      </c>
      <c r="I103" s="29"/>
      <c r="J103" s="29" t="n">
        <v>45946</v>
      </c>
      <c r="K103" s="24" t="n">
        <v>70000</v>
      </c>
      <c r="L103" s="21" t="s">
        <v>149</v>
      </c>
      <c r="M103" s="18" t="s">
        <v>1546</v>
      </c>
      <c r="N103" s="21" t="s">
        <v>1587</v>
      </c>
      <c r="O103" s="21" t="s">
        <v>1468</v>
      </c>
      <c r="P103" s="29" t="n">
        <v>45946</v>
      </c>
      <c r="Q103" s="21" t="s">
        <v>1460</v>
      </c>
      <c r="R103" s="21"/>
      <c r="S103" s="19" t="n">
        <f aca="false">COUNTIFS(Calls!$A$2:$A$9999,$A103,Calls!$B$2:$B$9999,$B103)</f>
        <v>1</v>
      </c>
      <c r="T103" s="19" t="n">
        <f aca="false">COUNTIFS(Calls!$A$2:$A$9999,$A103,Calls!$B$2:$B$9999,$B103,Calls!$N$2:$N$9999,"Reached*")</f>
        <v>0</v>
      </c>
      <c r="U103" s="31" t="n">
        <f aca="false">COUNTIFS(Calls!$A$2:$A$9999,$A103,Calls!$B$2:$B$9999,$B103,Calls!$O$2:$O$9999,"Interested")+COUNTIFS(Calls!$A$2:$A$9999,$A103,Calls!$B$2:$B$9999,$B103,Calls!$O$2:$O$9999,"Meeting booked")+COUNTIFS(Calls!$A$2:$A$9999,$A103,Calls!$B$2:$B$9999,$B103,Calls!$O$2:$O$9999,"Quote requested")</f>
        <v>0</v>
      </c>
      <c r="V103" s="21"/>
    </row>
    <row r="104" customFormat="false" ht="35.05" hidden="false" customHeight="false" outlineLevel="0" collapsed="false">
      <c r="A104" s="18" t="s">
        <v>1469</v>
      </c>
      <c r="B104" s="19" t="n">
        <v>1</v>
      </c>
      <c r="C104" s="18" t="s">
        <v>1472</v>
      </c>
      <c r="D104" s="22" t="s">
        <v>1471</v>
      </c>
      <c r="E104" s="18" t="s">
        <v>156</v>
      </c>
      <c r="F104" s="21" t="s">
        <v>1473</v>
      </c>
      <c r="G104" s="18" t="s">
        <v>1686</v>
      </c>
      <c r="H104" s="18" t="s">
        <v>43</v>
      </c>
      <c r="I104" s="29"/>
      <c r="J104" s="29" t="n">
        <v>46063</v>
      </c>
      <c r="K104" s="24" t="n">
        <v>90000</v>
      </c>
      <c r="L104" s="21" t="s">
        <v>1474</v>
      </c>
      <c r="M104" s="18" t="s">
        <v>1546</v>
      </c>
      <c r="N104" s="21" t="s">
        <v>1687</v>
      </c>
      <c r="O104" s="21" t="s">
        <v>1475</v>
      </c>
      <c r="P104" s="29" t="n">
        <v>46063</v>
      </c>
      <c r="Q104" s="21" t="s">
        <v>1470</v>
      </c>
      <c r="R104" s="21" t="s">
        <v>1476</v>
      </c>
      <c r="S104" s="19" t="n">
        <f aca="false">COUNTIFS(Calls!$A$2:$A$9999,$A104,Calls!$B$2:$B$9999,$B104)</f>
        <v>2</v>
      </c>
      <c r="T104" s="19" t="n">
        <f aca="false">COUNTIFS(Calls!$A$2:$A$9999,$A104,Calls!$B$2:$B$9999,$B104,Calls!$N$2:$N$9999,"Reached*")</f>
        <v>0</v>
      </c>
      <c r="U104" s="31" t="n">
        <f aca="false">COUNTIFS(Calls!$A$2:$A$9999,$A104,Calls!$B$2:$B$9999,$B104,Calls!$O$2:$O$9999,"Interested")+COUNTIFS(Calls!$A$2:$A$9999,$A104,Calls!$B$2:$B$9999,$B104,Calls!$O$2:$O$9999,"Meeting booked")+COUNTIFS(Calls!$A$2:$A$9999,$A104,Calls!$B$2:$B$9999,$B104,Calls!$O$2:$O$9999,"Quote requested")</f>
        <v>0</v>
      </c>
      <c r="V104" s="21"/>
    </row>
    <row r="105" customFormat="false" ht="23.85" hidden="false" customHeight="false" outlineLevel="0" collapsed="false">
      <c r="A105" s="18" t="s">
        <v>1479</v>
      </c>
      <c r="B105" s="19" t="n">
        <v>1</v>
      </c>
      <c r="C105" s="18" t="s">
        <v>1480</v>
      </c>
      <c r="D105" s="22" t="s">
        <v>181</v>
      </c>
      <c r="E105" s="18" t="s">
        <v>569</v>
      </c>
      <c r="F105" s="21" t="s">
        <v>1481</v>
      </c>
      <c r="G105" s="18" t="s">
        <v>1688</v>
      </c>
      <c r="H105" s="18" t="s">
        <v>43</v>
      </c>
      <c r="I105" s="29"/>
      <c r="J105" s="29" t="n">
        <v>46065</v>
      </c>
      <c r="K105" s="24" t="n">
        <v>150000</v>
      </c>
      <c r="L105" s="21" t="s">
        <v>149</v>
      </c>
      <c r="M105" s="18" t="s">
        <v>1546</v>
      </c>
      <c r="N105" s="21" t="s">
        <v>1549</v>
      </c>
      <c r="O105" s="21" t="s">
        <v>1482</v>
      </c>
      <c r="P105" s="29" t="n">
        <v>46065</v>
      </c>
      <c r="Q105" s="21" t="s">
        <v>876</v>
      </c>
      <c r="R105" s="21" t="s">
        <v>1483</v>
      </c>
      <c r="S105" s="19" t="n">
        <f aca="false">COUNTIFS(Calls!$A$2:$A$9999,$A105,Calls!$B$2:$B$9999,$B105)</f>
        <v>2</v>
      </c>
      <c r="T105" s="19" t="n">
        <f aca="false">COUNTIFS(Calls!$A$2:$A$9999,$A105,Calls!$B$2:$B$9999,$B105,Calls!$N$2:$N$9999,"Reached*")</f>
        <v>0</v>
      </c>
      <c r="U105" s="31" t="n">
        <f aca="false">COUNTIFS(Calls!$A$2:$A$9999,$A105,Calls!$B$2:$B$9999,$B105,Calls!$O$2:$O$9999,"Interested")+COUNTIFS(Calls!$A$2:$A$9999,$A105,Calls!$B$2:$B$9999,$B105,Calls!$O$2:$O$9999,"Meeting booked")+COUNTIFS(Calls!$A$2:$A$9999,$A105,Calls!$B$2:$B$9999,$B105,Calls!$O$2:$O$9999,"Quote requested")</f>
        <v>0</v>
      </c>
      <c r="V105" s="21"/>
    </row>
    <row r="106" customFormat="false" ht="23.85" hidden="false" customHeight="false" outlineLevel="0" collapsed="false">
      <c r="A106" s="18" t="s">
        <v>1489</v>
      </c>
      <c r="B106" s="19" t="n">
        <v>1</v>
      </c>
      <c r="C106" s="18" t="s">
        <v>1494</v>
      </c>
      <c r="D106" s="22" t="s">
        <v>1198</v>
      </c>
      <c r="E106" s="18" t="s">
        <v>416</v>
      </c>
      <c r="F106" s="21" t="s">
        <v>1497</v>
      </c>
      <c r="G106" s="18" t="s">
        <v>1689</v>
      </c>
      <c r="H106" s="18" t="s">
        <v>43</v>
      </c>
      <c r="I106" s="29"/>
      <c r="J106" s="29" t="n">
        <v>46065</v>
      </c>
      <c r="K106" s="24" t="n">
        <v>150000</v>
      </c>
      <c r="L106" s="21" t="s">
        <v>149</v>
      </c>
      <c r="M106" s="18" t="s">
        <v>1546</v>
      </c>
      <c r="N106" s="21" t="s">
        <v>1645</v>
      </c>
      <c r="O106" s="21" t="s">
        <v>1498</v>
      </c>
      <c r="P106" s="29" t="n">
        <v>46065</v>
      </c>
      <c r="Q106" s="21" t="s">
        <v>1490</v>
      </c>
      <c r="R106" s="21" t="s">
        <v>1499</v>
      </c>
      <c r="S106" s="19" t="n">
        <f aca="false">COUNTIFS(Calls!$A$2:$A$9999,$A106,Calls!$B$2:$B$9999,$B106)</f>
        <v>2</v>
      </c>
      <c r="T106" s="19" t="n">
        <f aca="false">COUNTIFS(Calls!$A$2:$A$9999,$A106,Calls!$B$2:$B$9999,$B106,Calls!$N$2:$N$9999,"Reached*")</f>
        <v>0</v>
      </c>
      <c r="U106" s="31" t="n">
        <f aca="false">COUNTIFS(Calls!$A$2:$A$9999,$A106,Calls!$B$2:$B$9999,$B106,Calls!$O$2:$O$9999,"Interested")+COUNTIFS(Calls!$A$2:$A$9999,$A106,Calls!$B$2:$B$9999,$B106,Calls!$O$2:$O$9999,"Meeting booked")+COUNTIFS(Calls!$A$2:$A$9999,$A106,Calls!$B$2:$B$9999,$B106,Calls!$O$2:$O$9999,"Quote requested")</f>
        <v>0</v>
      </c>
      <c r="V106" s="21"/>
    </row>
    <row r="107" customFormat="false" ht="15" hidden="false" customHeight="false" outlineLevel="0" collapsed="false">
      <c r="A107" s="18" t="s">
        <v>1504</v>
      </c>
      <c r="B107" s="19" t="n">
        <v>1</v>
      </c>
      <c r="C107" s="18" t="s">
        <v>1508</v>
      </c>
      <c r="D107" s="22" t="s">
        <v>839</v>
      </c>
      <c r="E107" s="18" t="s">
        <v>569</v>
      </c>
      <c r="F107" s="21" t="s">
        <v>1511</v>
      </c>
      <c r="G107" s="18" t="s">
        <v>1690</v>
      </c>
      <c r="H107" s="18" t="s">
        <v>43</v>
      </c>
      <c r="I107" s="29"/>
      <c r="J107" s="29" t="n">
        <v>46066</v>
      </c>
      <c r="K107" s="24" t="n">
        <v>90000</v>
      </c>
      <c r="L107" s="21" t="s">
        <v>149</v>
      </c>
      <c r="M107" s="18" t="s">
        <v>1546</v>
      </c>
      <c r="N107" s="21" t="s">
        <v>1549</v>
      </c>
      <c r="O107" s="21" t="s">
        <v>845</v>
      </c>
      <c r="P107" s="29" t="n">
        <v>46066</v>
      </c>
      <c r="Q107" s="21" t="s">
        <v>1505</v>
      </c>
      <c r="R107" s="21" t="s">
        <v>168</v>
      </c>
      <c r="S107" s="19" t="n">
        <f aca="false">COUNTIFS(Calls!$A$2:$A$9999,$A107,Calls!$B$2:$B$9999,$B107)</f>
        <v>2</v>
      </c>
      <c r="T107" s="19" t="n">
        <f aca="false">COUNTIFS(Calls!$A$2:$A$9999,$A107,Calls!$B$2:$B$9999,$B107,Calls!$N$2:$N$9999,"Reached*")</f>
        <v>0</v>
      </c>
      <c r="U107" s="31" t="n">
        <f aca="false">COUNTIFS(Calls!$A$2:$A$9999,$A107,Calls!$B$2:$B$9999,$B107,Calls!$O$2:$O$9999,"Interested")+COUNTIFS(Calls!$A$2:$A$9999,$A107,Calls!$B$2:$B$9999,$B107,Calls!$O$2:$O$9999,"Meeting booked")+COUNTIFS(Calls!$A$2:$A$9999,$A107,Calls!$B$2:$B$9999,$B107,Calls!$O$2:$O$9999,"Quote requested")</f>
        <v>0</v>
      </c>
      <c r="V107" s="21"/>
    </row>
    <row r="108" customFormat="false" ht="23.85" hidden="false" customHeight="false" outlineLevel="0" collapsed="false">
      <c r="A108" s="18" t="s">
        <v>1512</v>
      </c>
      <c r="B108" s="19" t="n">
        <v>1</v>
      </c>
      <c r="C108" s="18" t="s">
        <v>1519</v>
      </c>
      <c r="D108" s="22" t="s">
        <v>1517</v>
      </c>
      <c r="E108" s="18" t="s">
        <v>1518</v>
      </c>
      <c r="F108" s="21" t="s">
        <v>1522</v>
      </c>
      <c r="G108" s="18" t="s">
        <v>1691</v>
      </c>
      <c r="H108" s="18" t="s">
        <v>42</v>
      </c>
      <c r="I108" s="29" t="n">
        <v>46045</v>
      </c>
      <c r="J108" s="29"/>
      <c r="K108" s="24" t="n">
        <v>30000</v>
      </c>
      <c r="L108" s="21" t="s">
        <v>149</v>
      </c>
      <c r="M108" s="18" t="s">
        <v>1546</v>
      </c>
      <c r="N108" s="21" t="s">
        <v>1673</v>
      </c>
      <c r="O108" s="21" t="s">
        <v>1523</v>
      </c>
      <c r="P108" s="29" t="n">
        <v>46048</v>
      </c>
      <c r="Q108" s="21"/>
      <c r="R108" s="21" t="s">
        <v>1513</v>
      </c>
      <c r="S108" s="19" t="n">
        <f aca="false">COUNTIFS(Calls!$A$2:$A$9999,$A108,Calls!$B$2:$B$9999,$B108)</f>
        <v>1</v>
      </c>
      <c r="T108" s="19" t="n">
        <f aca="false">COUNTIFS(Calls!$A$2:$A$9999,$A108,Calls!$B$2:$B$9999,$B108,Calls!$N$2:$N$9999,"Reached*")</f>
        <v>0</v>
      </c>
      <c r="U108" s="31" t="n">
        <f aca="false">COUNTIFS(Calls!$A$2:$A$9999,$A108,Calls!$B$2:$B$9999,$B108,Calls!$O$2:$O$9999,"Interested")+COUNTIFS(Calls!$A$2:$A$9999,$A108,Calls!$B$2:$B$9999,$B108,Calls!$O$2:$O$9999,"Meeting booked")+COUNTIFS(Calls!$A$2:$A$9999,$A108,Calls!$B$2:$B$9999,$B108,Calls!$O$2:$O$9999,"Quote requested")</f>
        <v>0</v>
      </c>
      <c r="V108" s="21"/>
    </row>
    <row r="109" customFormat="false" ht="15" hidden="false" customHeight="false" outlineLevel="0" collapsed="false">
      <c r="A109" s="18" t="s">
        <v>1524</v>
      </c>
      <c r="B109" s="19" t="n">
        <v>1</v>
      </c>
      <c r="C109" s="18" t="s">
        <v>1528</v>
      </c>
      <c r="D109" s="22" t="s">
        <v>839</v>
      </c>
      <c r="E109" s="18" t="s">
        <v>1527</v>
      </c>
      <c r="F109" s="21" t="s">
        <v>1530</v>
      </c>
      <c r="G109" s="18" t="s">
        <v>1692</v>
      </c>
      <c r="H109" s="18" t="s">
        <v>43</v>
      </c>
      <c r="I109" s="29"/>
      <c r="J109" s="29" t="n">
        <v>46051</v>
      </c>
      <c r="K109" s="24" t="n">
        <v>90000</v>
      </c>
      <c r="L109" s="21" t="s">
        <v>149</v>
      </c>
      <c r="M109" s="18" t="s">
        <v>1546</v>
      </c>
      <c r="N109" s="21" t="s">
        <v>1549</v>
      </c>
      <c r="O109" s="21" t="s">
        <v>1531</v>
      </c>
      <c r="P109" s="29" t="n">
        <v>46051</v>
      </c>
      <c r="Q109" s="21" t="s">
        <v>1525</v>
      </c>
      <c r="R109" s="21" t="s">
        <v>1532</v>
      </c>
      <c r="S109" s="19" t="n">
        <f aca="false">COUNTIFS(Calls!$A$2:$A$9999,$A109,Calls!$B$2:$B$9999,$B109)</f>
        <v>2</v>
      </c>
      <c r="T109" s="19" t="n">
        <f aca="false">COUNTIFS(Calls!$A$2:$A$9999,$A109,Calls!$B$2:$B$9999,$B109,Calls!$N$2:$N$9999,"Reached*")</f>
        <v>0</v>
      </c>
      <c r="U109" s="31" t="n">
        <f aca="false">COUNTIFS(Calls!$A$2:$A$9999,$A109,Calls!$B$2:$B$9999,$B109,Calls!$O$2:$O$9999,"Interested")+COUNTIFS(Calls!$A$2:$A$9999,$A109,Calls!$B$2:$B$9999,$B109,Calls!$O$2:$O$9999,"Meeting booked")+COUNTIFS(Calls!$A$2:$A$9999,$A109,Calls!$B$2:$B$9999,$B109,Calls!$O$2:$O$9999,"Quote requested")</f>
        <v>0</v>
      </c>
      <c r="V109" s="21"/>
    </row>
  </sheetData>
  <conditionalFormatting sqref="V2:V109">
    <cfRule type="expression" priority="2" aboveAverage="0" equalAverage="0" bottom="0" percent="0" rank="0" text="" dxfId="15">
      <formula>V2&lt;&gt;""</formula>
    </cfRule>
  </conditionalFormatting>
  <conditionalFormatting sqref="U2:U109">
    <cfRule type="cellIs" priority="3" operator="greaterThan" aboveAverage="0" equalAverage="0" bottom="0" percent="0" rank="0" text="" dxfId="16">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5A6"/>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3"/>
    <col collapsed="false" customWidth="true" hidden="false" outlineLevel="0" max="3" min="3" style="0" width="34"/>
    <col collapsed="false" customWidth="true" hidden="false" outlineLevel="0" max="4" min="4" style="0" width="3"/>
    <col collapsed="false" customWidth="true" hidden="false" outlineLevel="0" max="5" min="5" style="0" width="34"/>
    <col collapsed="false" customWidth="true" hidden="false" outlineLevel="0" max="6" min="6" style="0" width="3"/>
    <col collapsed="false" customWidth="true" hidden="false" outlineLevel="0" max="8" min="8" style="0" width="34"/>
    <col collapsed="false" customWidth="true" hidden="false" outlineLevel="0" max="9" min="9" style="0" width="16"/>
  </cols>
  <sheetData>
    <row r="1" customFormat="false" ht="15" hidden="false" customHeight="false" outlineLevel="0" collapsed="false">
      <c r="A1" s="9" t="s">
        <v>1693</v>
      </c>
      <c r="C1" s="9" t="s">
        <v>5</v>
      </c>
      <c r="E1" s="9" t="s">
        <v>90</v>
      </c>
      <c r="H1" s="9" t="s">
        <v>1694</v>
      </c>
    </row>
    <row r="2" customFormat="false" ht="15" hidden="false" customHeight="false" outlineLevel="0" collapsed="false">
      <c r="A2" s="11" t="s">
        <v>1695</v>
      </c>
      <c r="C2" s="11" t="s">
        <v>8</v>
      </c>
      <c r="E2" s="11" t="s">
        <v>10</v>
      </c>
      <c r="H2" s="11" t="s">
        <v>1696</v>
      </c>
      <c r="I2" s="32" t="n">
        <v>300000</v>
      </c>
    </row>
    <row r="3" customFormat="false" ht="15" hidden="false" customHeight="false" outlineLevel="0" collapsed="false">
      <c r="A3" s="11" t="s">
        <v>87</v>
      </c>
      <c r="C3" s="11" t="s">
        <v>10</v>
      </c>
      <c r="E3" s="11" t="s">
        <v>154</v>
      </c>
      <c r="H3" s="11" t="s">
        <v>1697</v>
      </c>
      <c r="I3" s="32" t="n">
        <v>100000</v>
      </c>
    </row>
    <row r="4" customFormat="false" ht="15" hidden="false" customHeight="false" outlineLevel="0" collapsed="false">
      <c r="A4" s="11" t="s">
        <v>194</v>
      </c>
      <c r="C4" s="11" t="s">
        <v>13</v>
      </c>
      <c r="E4" s="11" t="s">
        <v>1698</v>
      </c>
      <c r="H4" s="11" t="s">
        <v>1699</v>
      </c>
    </row>
    <row r="5" customFormat="false" ht="15" hidden="false" customHeight="false" outlineLevel="0" collapsed="false">
      <c r="A5" s="11" t="s">
        <v>215</v>
      </c>
      <c r="C5" s="11" t="s">
        <v>14</v>
      </c>
      <c r="E5" s="11" t="s">
        <v>1700</v>
      </c>
    </row>
    <row r="6" customFormat="false" ht="15" hidden="false" customHeight="true" outlineLevel="0" collapsed="false">
      <c r="A6" s="11" t="s">
        <v>183</v>
      </c>
      <c r="C6" s="11" t="s">
        <v>16</v>
      </c>
      <c r="E6" s="11" t="s">
        <v>1701</v>
      </c>
      <c r="H6" s="33" t="s">
        <v>1702</v>
      </c>
      <c r="I6" s="33"/>
    </row>
    <row r="7" customFormat="false" ht="15" hidden="false" customHeight="false" outlineLevel="0" collapsed="false">
      <c r="A7" s="11" t="s">
        <v>1703</v>
      </c>
      <c r="C7" s="11" t="s">
        <v>18</v>
      </c>
      <c r="E7" s="11" t="s">
        <v>1704</v>
      </c>
      <c r="H7" s="33"/>
      <c r="I7" s="33"/>
    </row>
    <row r="8" customFormat="false" ht="15" hidden="false" customHeight="false" outlineLevel="0" collapsed="false">
      <c r="A8" s="11" t="s">
        <v>1705</v>
      </c>
      <c r="C8" s="11" t="s">
        <v>20</v>
      </c>
      <c r="E8" s="11" t="s">
        <v>1706</v>
      </c>
      <c r="H8" s="33"/>
      <c r="I8" s="33"/>
    </row>
    <row r="9" customFormat="false" ht="15" hidden="false" customHeight="false" outlineLevel="0" collapsed="false">
      <c r="A9" s="11" t="s">
        <v>205</v>
      </c>
      <c r="C9" s="11" t="s">
        <v>22</v>
      </c>
      <c r="E9" s="11" t="s">
        <v>1707</v>
      </c>
      <c r="H9" s="33"/>
      <c r="I9" s="33"/>
    </row>
    <row r="10" customFormat="false" ht="15" hidden="false" customHeight="false" outlineLevel="0" collapsed="false">
      <c r="A10" s="11" t="s">
        <v>247</v>
      </c>
      <c r="C10" s="11" t="s">
        <v>24</v>
      </c>
    </row>
    <row r="11" customFormat="false" ht="15" hidden="false" customHeight="false" outlineLevel="0" collapsed="false">
      <c r="A11" s="11" t="s">
        <v>172</v>
      </c>
      <c r="C11" s="11" t="s">
        <v>27</v>
      </c>
    </row>
    <row r="12" customFormat="false" ht="15" hidden="false" customHeight="false" outlineLevel="0" collapsed="false">
      <c r="A12" s="11" t="s">
        <v>1708</v>
      </c>
      <c r="C12" s="11" t="s">
        <v>29</v>
      </c>
    </row>
    <row r="13" customFormat="false" ht="15" hidden="false" customHeight="false" outlineLevel="0" collapsed="false">
      <c r="A13" s="11" t="s">
        <v>1709</v>
      </c>
    </row>
  </sheetData>
  <mergeCells count="1">
    <mergeCell ref="H6:I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2026-10-02T12:03:40Z</dcterms:created>
  <dc:creator>openpyxl</dc:creator>
  <dc:description/>
  <dc:language>en-US</dc:language>
  <cp:lastModifiedBy/>
  <dcterms:modified xsi:type="dcterms:W3CDTF">2026-10-02T12:03:40Z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